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rbanajurong-my.sharepoint.com/personal/nabinkumar_ijam_smec_com/Documents/Desktop/html/"/>
    </mc:Choice>
  </mc:AlternateContent>
  <xr:revisionPtr revIDLastSave="0" documentId="8_{9EDF3DC1-655D-4A33-B5B5-09A006EBB0BC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beam design" sheetId="1" r:id="rId1"/>
  </sheets>
  <functionGroups builtInGroupCount="19"/>
  <definedNames>
    <definedName name="_xlnm.Print_Area" localSheetId="0">'beam design'!$A$1:$M$55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57" i="1" l="1"/>
  <c r="AB56" i="1"/>
  <c r="AB53" i="1"/>
  <c r="AB57" i="1" s="1"/>
  <c r="AF57" i="1" s="1"/>
  <c r="AJ57" i="1" s="1"/>
  <c r="AB55" i="1"/>
  <c r="AA25" i="1"/>
  <c r="AB23" i="1"/>
  <c r="AB28" i="1"/>
  <c r="AF28" i="1" s="1"/>
  <c r="AJ28" i="1" s="1"/>
  <c r="AB19" i="1"/>
  <c r="AA18" i="1"/>
  <c r="AB25" i="1"/>
  <c r="AF25" i="1" s="1"/>
  <c r="AJ25" i="1" s="1"/>
  <c r="AA23" i="1"/>
  <c r="AE23" i="1" s="1"/>
  <c r="AI23" i="1" s="1"/>
  <c r="AF21" i="1"/>
  <c r="AJ21" i="1" s="1"/>
  <c r="AE21" i="1"/>
  <c r="AI21" i="1" s="1"/>
  <c r="AB21" i="1"/>
  <c r="AA21" i="1"/>
  <c r="AA20" i="1"/>
  <c r="AE20" i="1" s="1"/>
  <c r="AI20" i="1" s="1"/>
  <c r="AB18" i="1"/>
  <c r="AA24" i="1"/>
  <c r="AE24" i="1" s="1"/>
  <c r="AI24" i="1" s="1"/>
  <c r="AF17" i="1"/>
  <c r="AJ17" i="1" s="1"/>
  <c r="AE17" i="1"/>
  <c r="AI17" i="1" s="1"/>
  <c r="G37" i="1"/>
  <c r="E37" i="1"/>
  <c r="F42" i="1"/>
  <c r="F41" i="1"/>
  <c r="AG57" i="1" l="1"/>
  <c r="AK57" i="1" s="1"/>
  <c r="AF19" i="1"/>
  <c r="AJ19" i="1" s="1"/>
  <c r="AB26" i="1"/>
  <c r="AF26" i="1" s="1"/>
  <c r="AJ26" i="1" s="1"/>
  <c r="AB20" i="1"/>
  <c r="AF20" i="1" s="1"/>
  <c r="AJ20" i="1" s="1"/>
  <c r="AE18" i="1"/>
  <c r="AI18" i="1" s="1"/>
  <c r="AF56" i="1"/>
  <c r="AJ56" i="1" s="1"/>
  <c r="AF18" i="1"/>
  <c r="AJ18" i="1" s="1"/>
  <c r="AF53" i="1"/>
  <c r="AJ53" i="1" s="1"/>
  <c r="AA19" i="1"/>
  <c r="AE19" i="1" s="1"/>
  <c r="AI19" i="1" s="1"/>
  <c r="AC55" i="1"/>
  <c r="AC58" i="1" l="1"/>
  <c r="AG58" i="1" s="1"/>
  <c r="AK58" i="1" s="1"/>
  <c r="AA26" i="1"/>
  <c r="AE26" i="1" s="1"/>
  <c r="AI26" i="1" s="1"/>
  <c r="AE25" i="1"/>
  <c r="AI25" i="1" s="1"/>
  <c r="AB24" i="1"/>
  <c r="AF24" i="1" s="1"/>
  <c r="AJ24" i="1" s="1"/>
  <c r="AF23" i="1"/>
  <c r="AJ23" i="1" s="1"/>
  <c r="AG55" i="1"/>
  <c r="AK55" i="1" s="1"/>
  <c r="AC59" i="1"/>
  <c r="AG59" i="1" s="1"/>
  <c r="AK59" i="1" s="1"/>
  <c r="AC56" i="1"/>
  <c r="AG56" i="1" s="1"/>
  <c r="AK56" i="1" s="1"/>
  <c r="AF55" i="1"/>
  <c r="AJ55" i="1" s="1"/>
  <c r="AB59" i="1"/>
  <c r="AF59" i="1" s="1"/>
  <c r="AJ59" i="1" s="1"/>
  <c r="AB58" i="1"/>
  <c r="AF58" i="1" s="1"/>
  <c r="AJ58" i="1" s="1"/>
  <c r="K4" i="1" l="1"/>
  <c r="L13" i="1"/>
  <c r="E22" i="1"/>
  <c r="G23" i="1"/>
  <c r="F22" i="1"/>
  <c r="G19" i="1"/>
  <c r="F23" i="1"/>
  <c r="G22" i="1"/>
  <c r="E19" i="1"/>
  <c r="F19" i="1"/>
  <c r="E23" i="1"/>
  <c r="F27" i="1" l="1"/>
  <c r="G27" i="1"/>
  <c r="G24" i="1"/>
  <c r="G31" i="1" s="1"/>
  <c r="G32" i="1" s="1"/>
  <c r="G33" i="1" s="1"/>
  <c r="F24" i="1"/>
  <c r="F31" i="1" s="1"/>
  <c r="F32" i="1" s="1"/>
  <c r="F33" i="1" s="1"/>
  <c r="E24" i="1"/>
  <c r="E31" i="1" s="1"/>
  <c r="E32" i="1" s="1"/>
  <c r="E33" i="1" s="1"/>
  <c r="G21" i="1"/>
  <c r="F21" i="1"/>
  <c r="E21" i="1"/>
  <c r="F37" i="1"/>
  <c r="G28" i="1" l="1"/>
  <c r="I45" i="1"/>
  <c r="F28" i="1"/>
  <c r="D53" i="1"/>
  <c r="E27" i="1"/>
  <c r="G38" i="1"/>
  <c r="F38" i="1"/>
  <c r="G54" i="1" l="1"/>
  <c r="J48" i="1"/>
  <c r="F29" i="1"/>
  <c r="E28" i="1"/>
  <c r="C45" i="1"/>
  <c r="G29" i="1"/>
  <c r="E38" i="1" a="1"/>
  <c r="E38" i="1" l="1"/>
  <c r="E45" i="1" s="1"/>
  <c r="E2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<sst xmlns="http://schemas.openxmlformats.org/spreadsheetml/2006/main" count="141" uniqueCount="83">
  <si>
    <t>Grade of Concrete</t>
  </si>
  <si>
    <t>d</t>
  </si>
  <si>
    <t>mm</t>
  </si>
  <si>
    <t>Types of reinforcement</t>
  </si>
  <si>
    <t>Modulus of Elasticity of Steel</t>
  </si>
  <si>
    <t>fy</t>
  </si>
  <si>
    <t>Clear Cover</t>
  </si>
  <si>
    <t xml:space="preserve">Moment </t>
  </si>
  <si>
    <t>Shear force</t>
  </si>
  <si>
    <t>Design parameters</t>
  </si>
  <si>
    <t>Size of beams</t>
  </si>
  <si>
    <t xml:space="preserve">Depth </t>
  </si>
  <si>
    <t>Breadth</t>
  </si>
  <si>
    <t>b</t>
  </si>
  <si>
    <t>Types of beam</t>
  </si>
  <si>
    <t>Simply Supported</t>
  </si>
  <si>
    <t>Effective length of beam</t>
  </si>
  <si>
    <t>l</t>
  </si>
  <si>
    <t>m</t>
  </si>
  <si>
    <t>de</t>
  </si>
  <si>
    <t xml:space="preserve">A.2 </t>
  </si>
  <si>
    <t>Limit state of strength</t>
  </si>
  <si>
    <t>Number</t>
  </si>
  <si>
    <t>Dia</t>
  </si>
  <si>
    <t>Moment of resistance</t>
  </si>
  <si>
    <t>Revised Area of compression reinforcement</t>
  </si>
  <si>
    <t>Reinforcement Provided</t>
  </si>
  <si>
    <t>No. of legs</t>
  </si>
  <si>
    <t>1. Main reinforcement</t>
  </si>
  <si>
    <t>2. Shear reinforcement</t>
  </si>
  <si>
    <t xml:space="preserve">A.3 </t>
  </si>
  <si>
    <t>Types of bars</t>
  </si>
  <si>
    <t>Deformed</t>
  </si>
  <si>
    <t>Development length for Tension rebar</t>
  </si>
  <si>
    <t>Development length for Compression rebar</t>
  </si>
  <si>
    <t>Ldt</t>
  </si>
  <si>
    <t>Ldc</t>
  </si>
  <si>
    <t>3. Development length</t>
  </si>
  <si>
    <t>Spacing</t>
  </si>
  <si>
    <t>dc</t>
  </si>
  <si>
    <t>Mid</t>
  </si>
  <si>
    <t>x</t>
  </si>
  <si>
    <t>Diameter</t>
  </si>
  <si>
    <t>y</t>
  </si>
  <si>
    <t>Percentage</t>
  </si>
  <si>
    <r>
      <t>f</t>
    </r>
    <r>
      <rPr>
        <i/>
        <vertAlign val="subscript"/>
        <sz val="8"/>
        <color theme="1"/>
        <rFont val="Arial"/>
        <family val="2"/>
      </rPr>
      <t>ck</t>
    </r>
  </si>
  <si>
    <r>
      <t>N/mm</t>
    </r>
    <r>
      <rPr>
        <vertAlign val="superscript"/>
        <sz val="8"/>
        <color theme="1"/>
        <rFont val="Arial"/>
        <family val="2"/>
      </rPr>
      <t>2</t>
    </r>
  </si>
  <si>
    <r>
      <t>f</t>
    </r>
    <r>
      <rPr>
        <i/>
        <vertAlign val="subscript"/>
        <sz val="8"/>
        <color theme="1"/>
        <rFont val="Arial"/>
        <family val="2"/>
      </rPr>
      <t>s</t>
    </r>
  </si>
  <si>
    <r>
      <t>E</t>
    </r>
    <r>
      <rPr>
        <i/>
        <vertAlign val="subscript"/>
        <sz val="8"/>
        <color theme="1"/>
        <rFont val="Arial"/>
        <family val="2"/>
      </rPr>
      <t>s</t>
    </r>
  </si>
  <si>
    <t>Project name:</t>
  </si>
  <si>
    <t>Prepared by:</t>
  </si>
  <si>
    <t>Checked by:</t>
  </si>
  <si>
    <t>Recommended by:</t>
  </si>
  <si>
    <t>Date:</t>
  </si>
  <si>
    <t>Structure name</t>
  </si>
  <si>
    <t>Drawing refer to</t>
  </si>
  <si>
    <t>Steel grade</t>
  </si>
  <si>
    <t>Main bar</t>
  </si>
  <si>
    <t>Shear</t>
  </si>
  <si>
    <t>Lelft</t>
  </si>
  <si>
    <t>Right</t>
  </si>
  <si>
    <t>REINFORCEMENT DESIGN</t>
  </si>
  <si>
    <t>A. Serviceability Limit state</t>
  </si>
  <si>
    <t>A.1 Effective depth requirement</t>
  </si>
  <si>
    <t>Tension reinforcement</t>
  </si>
  <si>
    <t>Compression calculated</t>
  </si>
  <si>
    <t>Area</t>
  </si>
  <si>
    <t>Diameter of reinforcement</t>
  </si>
  <si>
    <t>Area of rebar</t>
  </si>
  <si>
    <t>Compression reinforcement</t>
  </si>
  <si>
    <t>Left section (Section-1)</t>
  </si>
  <si>
    <t>Mid (Section-2)</t>
  </si>
  <si>
    <t>Section-3</t>
  </si>
  <si>
    <t>Beam section</t>
  </si>
  <si>
    <t>Beam Section</t>
  </si>
  <si>
    <t>Dimension</t>
  </si>
  <si>
    <t>First rebar</t>
  </si>
  <si>
    <t>Nos</t>
  </si>
  <si>
    <t>Stirrups</t>
  </si>
  <si>
    <t>Cover</t>
  </si>
  <si>
    <t>DESIGN OF BEAM</t>
  </si>
  <si>
    <t>Skip print</t>
  </si>
  <si>
    <t>Print report--&gt;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</si>
</sst>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&quot;M&quot;0"/>
  </numFmts>
  <fonts count="15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Arial"/>
      <family val="2"/>
    </font>
    <font>
      <i/>
      <sz val="8"/>
      <color theme="1"/>
      <name val="Arial"/>
      <family val="2"/>
    </font>
    <font>
      <b/>
      <sz val="8"/>
      <color theme="1"/>
      <name val="Arial"/>
      <family val="2"/>
    </font>
    <font>
      <i/>
      <vertAlign val="subscript"/>
      <sz val="8"/>
      <color theme="1"/>
      <name val="Arial"/>
      <family val="2"/>
    </font>
    <font>
      <vertAlign val="superscript"/>
      <sz val="8"/>
      <color theme="1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color rgb="FF0070C0"/>
      <name val="Arial"/>
      <family val="2"/>
    </font>
    <font>
      <b/>
      <u/>
      <sz val="10"/>
      <color theme="1"/>
      <name val="Arial"/>
      <family val="2"/>
    </font>
    <font>
      <sz val="8"/>
      <color rgb="FF0070C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4" fillId="2" borderId="0" xfId="0" applyFont="1" applyFill="1"/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/>
    <xf numFmtId="165" fontId="4" fillId="2" borderId="2" xfId="0" applyNumberFormat="1" applyFont="1" applyFill="1" applyBorder="1"/>
    <xf numFmtId="1" fontId="4" fillId="2" borderId="2" xfId="0" applyNumberFormat="1" applyFont="1" applyFill="1" applyBorder="1"/>
    <xf numFmtId="0" fontId="4" fillId="2" borderId="0" xfId="0" applyFont="1" applyFill="1" applyAlignment="1">
      <alignment horizontal="center"/>
    </xf>
    <xf numFmtId="0" fontId="5" fillId="2" borderId="2" xfId="0" applyFont="1" applyFill="1" applyBorder="1" applyAlignment="1">
      <alignment horizontal="right"/>
    </xf>
    <xf numFmtId="2" fontId="4" fillId="2" borderId="0" xfId="0" applyNumberFormat="1" applyFont="1" applyFill="1"/>
    <xf numFmtId="0" fontId="5" fillId="2" borderId="2" xfId="0" applyFont="1" applyFill="1" applyBorder="1"/>
    <xf numFmtId="2" fontId="4" fillId="2" borderId="2" xfId="0" applyNumberFormat="1" applyFont="1" applyFill="1" applyBorder="1" applyAlignment="1">
      <alignment horizontal="right"/>
    </xf>
    <xf numFmtId="0" fontId="10" fillId="2" borderId="2" xfId="0" applyFont="1" applyFill="1" applyBorder="1" applyAlignment="1">
      <alignment horizontal="right" vertical="center"/>
    </xf>
    <xf numFmtId="0" fontId="11" fillId="2" borderId="2" xfId="0" applyFont="1" applyFill="1" applyBorder="1" applyAlignment="1">
      <alignment horizontal="right"/>
    </xf>
    <xf numFmtId="0" fontId="6" fillId="2" borderId="0" xfId="0" applyFont="1" applyFill="1"/>
    <xf numFmtId="0" fontId="6" fillId="2" borderId="0" xfId="0" applyFont="1" applyFill="1" applyAlignment="1">
      <alignment horizontal="center"/>
    </xf>
    <xf numFmtId="0" fontId="4" fillId="2" borderId="0" xfId="0" applyFont="1" applyFill="1" applyAlignment="1">
      <alignment horizontal="right"/>
    </xf>
    <xf numFmtId="0" fontId="12" fillId="2" borderId="0" xfId="0" applyFont="1" applyFill="1" applyAlignment="1">
      <alignment horizontal="center"/>
    </xf>
    <xf numFmtId="0" fontId="13" fillId="2" borderId="2" xfId="0" applyFont="1" applyFill="1" applyBorder="1" applyAlignment="1">
      <alignment horizontal="right"/>
    </xf>
    <xf numFmtId="0" fontId="13" fillId="2" borderId="2" xfId="0" applyFont="1" applyFill="1" applyBorder="1"/>
    <xf numFmtId="1" fontId="13" fillId="2" borderId="2" xfId="0" applyNumberFormat="1" applyFont="1" applyFill="1" applyBorder="1" applyAlignment="1">
      <alignment horizontal="right"/>
    </xf>
    <xf numFmtId="2" fontId="13" fillId="2" borderId="2" xfId="0" applyNumberFormat="1" applyFont="1" applyFill="1" applyBorder="1" applyAlignment="1">
      <alignment horizontal="right"/>
    </xf>
    <xf numFmtId="0" fontId="3" fillId="2" borderId="0" xfId="0" applyFont="1" applyFill="1" applyAlignment="1">
      <alignment horizontal="left"/>
    </xf>
    <xf numFmtId="0" fontId="3" fillId="2" borderId="0" xfId="0" applyFont="1" applyFill="1"/>
    <xf numFmtId="0" fontId="3" fillId="2" borderId="13" xfId="0" applyFont="1" applyFill="1" applyBorder="1"/>
    <xf numFmtId="0" fontId="4" fillId="2" borderId="13" xfId="0" applyFont="1" applyFill="1" applyBorder="1"/>
    <xf numFmtId="0" fontId="6" fillId="2" borderId="2" xfId="0" applyFont="1" applyFill="1" applyBorder="1"/>
    <xf numFmtId="0" fontId="4" fillId="2" borderId="0" xfId="0" applyFont="1" applyFill="1" applyAlignment="1">
      <alignment horizontal="left"/>
    </xf>
    <xf numFmtId="1" fontId="4" fillId="2" borderId="2" xfId="0" applyNumberFormat="1" applyFont="1" applyFill="1" applyBorder="1" applyAlignment="1">
      <alignment horizontal="right"/>
    </xf>
    <xf numFmtId="0" fontId="9" fillId="2" borderId="2" xfId="0" applyFont="1" applyFill="1" applyBorder="1" applyAlignment="1">
      <alignment horizontal="right"/>
    </xf>
    <xf numFmtId="0" fontId="2" fillId="2" borderId="2" xfId="0" applyFont="1" applyFill="1" applyBorder="1"/>
    <xf numFmtId="166" fontId="13" fillId="2" borderId="2" xfId="0" applyNumberFormat="1" applyFont="1" applyFill="1" applyBorder="1" applyAlignment="1">
      <alignment horizontal="right"/>
    </xf>
    <xf numFmtId="2" fontId="9" fillId="2" borderId="2" xfId="0" applyNumberFormat="1" applyFont="1" applyFill="1" applyBorder="1" applyAlignment="1">
      <alignment horizontal="right"/>
    </xf>
    <xf numFmtId="164" fontId="9" fillId="2" borderId="2" xfId="0" applyNumberFormat="1" applyFont="1" applyFill="1" applyBorder="1" applyAlignment="1">
      <alignment horizontal="right" vertical="center"/>
    </xf>
    <xf numFmtId="2" fontId="9" fillId="2" borderId="2" xfId="0" applyNumberFormat="1" applyFont="1" applyFill="1" applyBorder="1" applyAlignment="1">
      <alignment horizontal="right" vertical="center"/>
    </xf>
    <xf numFmtId="0" fontId="4" fillId="2" borderId="6" xfId="0" applyFont="1" applyFill="1" applyBorder="1" applyAlignment="1">
      <alignment horizontal="right"/>
    </xf>
    <xf numFmtId="0" fontId="4" fillId="2" borderId="6" xfId="0" applyFont="1" applyFill="1" applyBorder="1"/>
    <xf numFmtId="1" fontId="2" fillId="2" borderId="2" xfId="0" applyNumberFormat="1" applyFont="1" applyFill="1" applyBorder="1" applyAlignment="1">
      <alignment horizontal="right"/>
    </xf>
    <xf numFmtId="0" fontId="2" fillId="2" borderId="0" xfId="0" applyFont="1" applyFill="1"/>
    <xf numFmtId="0" fontId="2" fillId="2" borderId="1" xfId="0" applyFont="1" applyFill="1" applyBorder="1" applyAlignment="1">
      <alignment horizontal="right"/>
    </xf>
    <xf numFmtId="0" fontId="2" fillId="2" borderId="1" xfId="0" applyFont="1" applyFill="1" applyBorder="1"/>
    <xf numFmtId="1" fontId="2" fillId="2" borderId="1" xfId="0" applyNumberFormat="1" applyFont="1" applyFill="1" applyBorder="1"/>
    <xf numFmtId="0" fontId="5" fillId="2" borderId="1" xfId="0" applyFont="1" applyFill="1" applyBorder="1"/>
    <xf numFmtId="0" fontId="5" fillId="2" borderId="0" xfId="0" applyFont="1" applyFill="1" applyAlignment="1">
      <alignment horizontal="right"/>
    </xf>
    <xf numFmtId="14" fontId="4" fillId="2" borderId="0" xfId="0" applyNumberFormat="1" applyFont="1" applyFill="1"/>
    <xf numFmtId="0" fontId="12" fillId="2" borderId="0" xfId="0" applyFont="1" applyFill="1"/>
    <xf numFmtId="0" fontId="1" fillId="2" borderId="0" xfId="0" applyFont="1" applyFill="1" applyAlignment="1">
      <alignment horizontal="right"/>
    </xf>
    <xf numFmtId="0" fontId="6" fillId="2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0" fontId="4" fillId="2" borderId="5" xfId="0" applyFont="1" applyFill="1" applyBorder="1"/>
    <xf numFmtId="14" fontId="4" fillId="2" borderId="0" xfId="0" applyNumberFormat="1" applyFont="1" applyFill="1" applyAlignment="1">
      <alignment horizontal="left"/>
    </xf>
    <xf numFmtId="0" fontId="2" fillId="2" borderId="3" xfId="0" applyFont="1" applyFill="1" applyBorder="1" applyAlignment="1">
      <alignment horizontal="left"/>
    </xf>
    <xf numFmtId="0" fontId="4" fillId="2" borderId="4" xfId="0" applyFont="1" applyFill="1" applyBorder="1" applyAlignment="1">
      <alignment horizontal="left"/>
    </xf>
    <xf numFmtId="0" fontId="4" fillId="2" borderId="5" xfId="0" applyFont="1" applyFill="1" applyBorder="1" applyAlignment="1">
      <alignment horizontal="left"/>
    </xf>
    <xf numFmtId="0" fontId="2" fillId="2" borderId="11" xfId="0" applyFont="1" applyFill="1" applyBorder="1" applyAlignment="1">
      <alignment horizontal="left" wrapText="1"/>
    </xf>
    <xf numFmtId="0" fontId="4" fillId="2" borderId="8" xfId="0" applyFont="1" applyFill="1" applyBorder="1" applyAlignment="1">
      <alignment horizontal="left" wrapText="1"/>
    </xf>
    <xf numFmtId="0" fontId="4" fillId="2" borderId="7" xfId="0" applyFont="1" applyFill="1" applyBorder="1" applyAlignment="1">
      <alignment horizontal="left" wrapText="1"/>
    </xf>
    <xf numFmtId="0" fontId="4" fillId="2" borderId="9" xfId="0" applyFont="1" applyFill="1" applyBorder="1" applyAlignment="1">
      <alignment horizontal="left" wrapText="1"/>
    </xf>
    <xf numFmtId="0" fontId="4" fillId="2" borderId="12" xfId="0" applyFont="1" applyFill="1" applyBorder="1" applyAlignment="1">
      <alignment horizontal="left" wrapText="1"/>
    </xf>
    <xf numFmtId="0" fontId="4" fillId="2" borderId="10" xfId="0" applyFont="1" applyFill="1" applyBorder="1" applyAlignment="1">
      <alignment horizontal="left" wrapText="1"/>
    </xf>
    <xf numFmtId="0" fontId="4" fillId="2" borderId="3" xfId="0" applyFont="1" applyFill="1" applyBorder="1" applyAlignment="1">
      <alignment horizontal="left"/>
    </xf>
    <xf numFmtId="0" fontId="2" fillId="2" borderId="11" xfId="0" applyFont="1" applyFill="1" applyBorder="1" applyAlignment="1">
      <alignment horizontal="left"/>
    </xf>
    <xf numFmtId="0" fontId="2" fillId="2" borderId="8" xfId="0" applyFont="1" applyFill="1" applyBorder="1" applyAlignment="1">
      <alignment horizontal="left"/>
    </xf>
    <xf numFmtId="0" fontId="2" fillId="2" borderId="12" xfId="0" applyFont="1" applyFill="1" applyBorder="1" applyAlignment="1">
      <alignment horizontal="left"/>
    </xf>
    <xf numFmtId="0" fontId="2" fillId="2" borderId="10" xfId="0" applyFont="1" applyFill="1" applyBorder="1" applyAlignment="1">
      <alignment horizontal="left"/>
    </xf>
    <xf numFmtId="0" fontId="4" fillId="2" borderId="0" xfId="0" applyFont="1" applyFill="1" applyAlignment="1">
      <alignment horizontal="left"/>
    </xf>
    <xf numFmtId="1" fontId="4" fillId="2" borderId="3" xfId="0" applyNumberFormat="1" applyFont="1" applyFill="1" applyBorder="1" applyAlignment="1">
      <alignment horizontal="right"/>
    </xf>
    <xf numFmtId="1" fontId="4" fillId="2" borderId="5" xfId="0" applyNumberFormat="1" applyFont="1" applyFill="1" applyBorder="1" applyAlignment="1">
      <alignment horizontal="right"/>
    </xf>
    <xf numFmtId="0" fontId="4" fillId="2" borderId="3" xfId="0" applyFont="1" applyFill="1" applyBorder="1" applyAlignment="1">
      <alignment horizontal="left" wrapText="1"/>
    </xf>
    <xf numFmtId="0" fontId="4" fillId="2" borderId="4" xfId="0" applyFont="1" applyFill="1" applyBorder="1" applyAlignment="1">
      <alignment horizontal="left" wrapText="1"/>
    </xf>
    <xf numFmtId="0" fontId="4" fillId="2" borderId="5" xfId="0" applyFont="1" applyFill="1" applyBorder="1" applyAlignment="1">
      <alignment horizontal="left" wrapText="1"/>
    </xf>
    <xf numFmtId="0" fontId="6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left" wrapText="1"/>
    </xf>
    <xf numFmtId="0" fontId="12" fillId="2" borderId="0" xfId="0" applyFont="1" applyFill="1" applyAlignment="1">
      <alignment horizontal="center"/>
    </xf>
    <xf numFmtId="0" fontId="13" fillId="2" borderId="3" xfId="0" applyFont="1" applyFill="1" applyBorder="1" applyAlignment="1">
      <alignment horizontal="right"/>
    </xf>
    <xf numFmtId="0" fontId="13" fillId="2" borderId="5" xfId="0" applyFont="1" applyFill="1" applyBorder="1" applyAlignment="1">
      <alignment horizontal="right"/>
    </xf>
    <xf numFmtId="0" fontId="4" fillId="2" borderId="0" xfId="0" applyFont="1" applyFill="1" applyAlignment="1">
      <alignment horizontal="right"/>
    </xf>
    <xf numFmtId="0" fontId="4" fillId="2" borderId="12" xfId="0" applyFont="1" applyFill="1" applyBorder="1" applyAlignment="1">
      <alignment horizontal="center"/>
    </xf>
    <xf numFmtId="0" fontId="4" fillId="2" borderId="14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left"/>
    </xf>
    <xf numFmtId="0" fontId="6" fillId="2" borderId="4" xfId="0" applyFont="1" applyFill="1" applyBorder="1" applyAlignment="1">
      <alignment horizontal="left"/>
    </xf>
    <xf numFmtId="0" fontId="6" fillId="2" borderId="5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900">
                <a:latin typeface="Arial" panose="020B0604020202020204" pitchFamily="34" charset="0"/>
                <a:cs typeface="Arial" panose="020B0604020202020204" pitchFamily="34" charset="0"/>
              </a:rPr>
              <a:t>Section-1</a:t>
            </a:r>
          </a:p>
        </c:rich>
      </c:tx>
      <c:layout>
        <c:manualLayout>
          <c:xMode val="edge"/>
          <c:yMode val="edge"/>
          <c:x val="0.20717502884575958"/>
          <c:y val="6.5906210392902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185323511783316E-2"/>
          <c:y val="0.16552598225602028"/>
          <c:w val="0.87952917709648004"/>
          <c:h val="0.72662401574803159"/>
        </c:manualLayout>
      </c:layout>
      <c:scatterChart>
        <c:scatterStyle val="lineMarker"/>
        <c:varyColors val="0"/>
        <c:ser>
          <c:idx val="0"/>
          <c:order val="0"/>
          <c:tx>
            <c:v>Beam</c:v>
          </c:tx>
          <c:spPr>
            <a:ln w="952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'beam design'!$AA$17:$AA$21</c:f>
              <c:numCache>
                <c:formatCode>0</c:formatCode>
                <c:ptCount val="5"/>
                <c:pt idx="0" formatCode="General">
                  <c:v>0</c:v>
                </c:pt>
                <c:pt idx="1">
                  <c:v>1000</c:v>
                </c:pt>
                <c:pt idx="2" formatCode="General">
                  <c:v>1000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'beam design'!$AB$17:$AB$21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 formatCode="0">
                  <c:v>1500</c:v>
                </c:pt>
                <c:pt idx="3">
                  <c:v>1500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C5-4C23-AC76-7198C5FF9C01}"/>
            </c:ext>
          </c:extLst>
        </c:ser>
        <c:ser>
          <c:idx val="1"/>
          <c:order val="1"/>
          <c:tx>
            <c:v>Dimension</c:v>
          </c:tx>
          <c:spPr>
            <a:ln w="9525" cap="rnd">
              <a:solidFill>
                <a:srgbClr val="0070C0"/>
              </a:solidFill>
              <a:round/>
              <a:headEnd type="triangle" w="med" len="med"/>
              <a:tailEnd type="triangle" w="med" len="med"/>
            </a:ln>
            <a:effectLst/>
          </c:spPr>
          <c:marker>
            <c:symbol val="none"/>
          </c:marker>
          <c:xVal>
            <c:numRef>
              <c:f>'beam design'!$AA$23:$AA$24</c:f>
              <c:numCache>
                <c:formatCode>General</c:formatCode>
                <c:ptCount val="2"/>
                <c:pt idx="0">
                  <c:v>0</c:v>
                </c:pt>
                <c:pt idx="1">
                  <c:v>1000</c:v>
                </c:pt>
              </c:numCache>
            </c:numRef>
          </c:xVal>
          <c:yVal>
            <c:numRef>
              <c:f>'beam design'!$AB$23:$AB$24</c:f>
              <c:numCache>
                <c:formatCode>General</c:formatCode>
                <c:ptCount val="2"/>
                <c:pt idx="0" formatCode="0">
                  <c:v>1600</c:v>
                </c:pt>
                <c:pt idx="1">
                  <c:v>1600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C5-4C23-AC76-7198C5FF9C01}"/>
            </c:ext>
          </c:extLst>
        </c:ser>
        <c:ser>
          <c:idx val="2"/>
          <c:order val="2"/>
          <c:tx>
            <c:v>Y</c:v>
          </c:tx>
          <c:spPr>
            <a:ln w="9525" cap="rnd">
              <a:solidFill>
                <a:srgbClr val="0070C0"/>
              </a:solidFill>
              <a:round/>
              <a:headEnd type="triangle" w="med" len="med"/>
              <a:tailEnd type="triangle" w="med" len="med"/>
            </a:ln>
            <a:effectLst/>
          </c:spPr>
          <c:marker>
            <c:symbol val="none"/>
          </c:marker>
          <c:xVal>
            <c:numRef>
              <c:f>'beam design'!$AA$25:$AA$26</c:f>
              <c:numCache>
                <c:formatCode>General</c:formatCode>
                <c:ptCount val="2"/>
                <c:pt idx="0" formatCode="0">
                  <c:v>1100</c:v>
                </c:pt>
                <c:pt idx="1">
                  <c:v>1100</c:v>
                </c:pt>
              </c:numCache>
            </c:numRef>
          </c:xVal>
          <c:yVal>
            <c:numRef>
              <c:f>'beam design'!$AB$25:$AB$26</c:f>
              <c:numCache>
                <c:formatCode>General</c:formatCode>
                <c:ptCount val="2"/>
                <c:pt idx="0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C5-4C23-AC76-7198C5FF9C01}"/>
            </c:ext>
          </c:extLst>
        </c:ser>
        <c:ser>
          <c:idx val="3"/>
          <c:order val="3"/>
          <c:tx>
            <c:v>TensionRebar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'beam design'!$AB$31:$AB$39</c:f>
              <c:numCache>
                <c:formatCode>General</c:formatCode>
                <c:ptCount val="9"/>
                <c:pt idx="0">
                  <c:v>52.5</c:v>
                </c:pt>
                <c:pt idx="1">
                  <c:v>231.5</c:v>
                </c:pt>
                <c:pt idx="2">
                  <c:v>410.5</c:v>
                </c:pt>
                <c:pt idx="3">
                  <c:v>589.5</c:v>
                </c:pt>
                <c:pt idx="4">
                  <c:v>768.5</c:v>
                </c:pt>
                <c:pt idx="5">
                  <c:v>947.5</c:v>
                </c:pt>
              </c:numCache>
            </c:numRef>
          </c:xVal>
          <c:yVal>
            <c:numRef>
              <c:f>'beam design'!$AC$31:$AC$39</c:f>
              <c:numCache>
                <c:formatCode>General</c:formatCode>
                <c:ptCount val="9"/>
                <c:pt idx="0">
                  <c:v>1447.5</c:v>
                </c:pt>
                <c:pt idx="1">
                  <c:v>1447.5</c:v>
                </c:pt>
                <c:pt idx="2">
                  <c:v>1447.5</c:v>
                </c:pt>
                <c:pt idx="3">
                  <c:v>1447.5</c:v>
                </c:pt>
                <c:pt idx="4">
                  <c:v>1447.5</c:v>
                </c:pt>
                <c:pt idx="5">
                  <c:v>1447.5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E8-4D85-95A8-9FDAC878D3E6}"/>
            </c:ext>
          </c:extLst>
        </c:ser>
        <c:ser>
          <c:idx val="4"/>
          <c:order val="4"/>
          <c:tx>
            <c:v>CompRebar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'beam design'!$AB$42:$AB$51</c:f>
              <c:numCache>
                <c:formatCode>General</c:formatCode>
                <c:ptCount val="10"/>
                <c:pt idx="0">
                  <c:v>52.5</c:v>
                </c:pt>
                <c:pt idx="1">
                  <c:v>500</c:v>
                </c:pt>
                <c:pt idx="2">
                  <c:v>947.5</c:v>
                </c:pt>
              </c:numCache>
            </c:numRef>
          </c:xVal>
          <c:yVal>
            <c:numRef>
              <c:f>'beam design'!$AC$42:$AC$51</c:f>
              <c:numCache>
                <c:formatCode>General</c:formatCode>
                <c:ptCount val="10"/>
                <c:pt idx="0">
                  <c:v>52.5</c:v>
                </c:pt>
                <c:pt idx="1">
                  <c:v>52.5</c:v>
                </c:pt>
                <c:pt idx="2">
                  <c:v>52.5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E8-4D85-95A8-9FDAC878D3E6}"/>
            </c:ext>
          </c:extLst>
        </c:ser>
        <c:ser>
          <c:idx val="5"/>
          <c:order val="5"/>
          <c:tx>
            <c:v>Stirrups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'beam design'!$AB$55:$AB$59</c:f>
              <c:numCache>
                <c:formatCode>0</c:formatCode>
                <c:ptCount val="5"/>
                <c:pt idx="0" formatCode="General">
                  <c:v>35</c:v>
                </c:pt>
                <c:pt idx="1">
                  <c:v>965</c:v>
                </c:pt>
                <c:pt idx="2" formatCode="General">
                  <c:v>965</c:v>
                </c:pt>
                <c:pt idx="3" formatCode="General">
                  <c:v>35</c:v>
                </c:pt>
                <c:pt idx="4" formatCode="General">
                  <c:v>35</c:v>
                </c:pt>
              </c:numCache>
            </c:numRef>
          </c:xVal>
          <c:yVal>
            <c:numRef>
              <c:f>'beam design'!$AC$55:$AC$59</c:f>
              <c:numCache>
                <c:formatCode>General</c:formatCode>
                <c:ptCount val="5"/>
                <c:pt idx="0">
                  <c:v>35</c:v>
                </c:pt>
                <c:pt idx="1">
                  <c:v>35</c:v>
                </c:pt>
                <c:pt idx="2" formatCode="0">
                  <c:v>1465</c:v>
                </c:pt>
                <c:pt idx="3">
                  <c:v>1465</c:v>
                </c:pt>
                <c:pt idx="4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E8-4D85-95A8-9FDAC878D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3880223"/>
        <c:axId val="1823882143"/>
      </c:scatterChart>
      <c:valAx>
        <c:axId val="1823880223"/>
        <c:scaling>
          <c:orientation val="minMax"/>
          <c:max val="1300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1823882143"/>
        <c:crosses val="autoZero"/>
        <c:crossBetween val="midCat"/>
      </c:valAx>
      <c:valAx>
        <c:axId val="1823882143"/>
        <c:scaling>
          <c:orientation val="minMax"/>
          <c:min val="-1"/>
        </c:scaling>
        <c:delete val="1"/>
        <c:axPos val="l"/>
        <c:numFmt formatCode="General" sourceLinked="1"/>
        <c:majorTickMark val="out"/>
        <c:minorTickMark val="none"/>
        <c:tickLblPos val="nextTo"/>
        <c:crossAx val="18238802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900">
                <a:latin typeface="Arial" panose="020B0604020202020204" pitchFamily="34" charset="0"/>
                <a:cs typeface="Arial" panose="020B0604020202020204" pitchFamily="34" charset="0"/>
              </a:rPr>
              <a:t>Section-2</a:t>
            </a:r>
          </a:p>
        </c:rich>
      </c:tx>
      <c:layout>
        <c:manualLayout>
          <c:xMode val="edge"/>
          <c:yMode val="edge"/>
          <c:x val="0.20717502884575958"/>
          <c:y val="6.5906210392902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185323511783316E-2"/>
          <c:y val="0.16552598225602028"/>
          <c:w val="0.87952917709648004"/>
          <c:h val="0.72662401574803159"/>
        </c:manualLayout>
      </c:layout>
      <c:scatterChart>
        <c:scatterStyle val="lineMarker"/>
        <c:varyColors val="0"/>
        <c:ser>
          <c:idx val="0"/>
          <c:order val="0"/>
          <c:spPr>
            <a:ln w="952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'beam design'!$AE$17:$AE$21</c:f>
              <c:numCache>
                <c:formatCode>General</c:formatCode>
                <c:ptCount val="5"/>
                <c:pt idx="0">
                  <c:v>0</c:v>
                </c:pt>
                <c:pt idx="1">
                  <c:v>1000</c:v>
                </c:pt>
                <c:pt idx="2">
                  <c:v>1000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'beam design'!$AF$17:$AF$21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1500</c:v>
                </c:pt>
                <c:pt idx="3">
                  <c:v>1500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3E-46AF-B22D-3E51C20D47C4}"/>
            </c:ext>
          </c:extLst>
        </c:ser>
        <c:ser>
          <c:idx val="1"/>
          <c:order val="1"/>
          <c:spPr>
            <a:ln w="9525" cap="rnd">
              <a:solidFill>
                <a:srgbClr val="0070C0"/>
              </a:solidFill>
              <a:round/>
              <a:headEnd type="triangle" w="med" len="med"/>
              <a:tailEnd type="triangle" w="med" len="med"/>
            </a:ln>
            <a:effectLst/>
          </c:spPr>
          <c:marker>
            <c:symbol val="none"/>
          </c:marker>
          <c:xVal>
            <c:numRef>
              <c:f>'beam design'!$AE$23:$AE$24</c:f>
              <c:numCache>
                <c:formatCode>General</c:formatCode>
                <c:ptCount val="2"/>
                <c:pt idx="0">
                  <c:v>0</c:v>
                </c:pt>
                <c:pt idx="1">
                  <c:v>1000</c:v>
                </c:pt>
              </c:numCache>
            </c:numRef>
          </c:xVal>
          <c:yVal>
            <c:numRef>
              <c:f>'beam design'!$AF$23:$AF$24</c:f>
              <c:numCache>
                <c:formatCode>General</c:formatCode>
                <c:ptCount val="2"/>
                <c:pt idx="0">
                  <c:v>1600</c:v>
                </c:pt>
                <c:pt idx="1">
                  <c:v>1600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3E-46AF-B22D-3E51C20D47C4}"/>
            </c:ext>
          </c:extLst>
        </c:ser>
        <c:ser>
          <c:idx val="2"/>
          <c:order val="2"/>
          <c:spPr>
            <a:ln w="9525" cap="rnd">
              <a:solidFill>
                <a:srgbClr val="0070C0"/>
              </a:solidFill>
              <a:round/>
              <a:headEnd type="triangle" w="med" len="med"/>
              <a:tailEnd type="triangle" w="med" len="med"/>
            </a:ln>
            <a:effectLst/>
          </c:spPr>
          <c:marker>
            <c:symbol val="none"/>
          </c:marker>
          <c:xVal>
            <c:numRef>
              <c:f>'beam design'!$AE$25:$AE$26</c:f>
              <c:numCache>
                <c:formatCode>General</c:formatCode>
                <c:ptCount val="2"/>
                <c:pt idx="0">
                  <c:v>1100</c:v>
                </c:pt>
                <c:pt idx="1">
                  <c:v>1100</c:v>
                </c:pt>
              </c:numCache>
            </c:numRef>
          </c:xVal>
          <c:yVal>
            <c:numRef>
              <c:f>'beam design'!$AF$25:$AF$26</c:f>
              <c:numCache>
                <c:formatCode>General</c:formatCode>
                <c:ptCount val="2"/>
                <c:pt idx="0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3E-46AF-B22D-3E51C20D47C4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'beam design'!$AF$31:$AF$39</c:f>
              <c:numCache>
                <c:formatCode>General</c:formatCode>
                <c:ptCount val="9"/>
                <c:pt idx="0">
                  <c:v>52.5</c:v>
                </c:pt>
                <c:pt idx="1">
                  <c:v>201.66666666666666</c:v>
                </c:pt>
                <c:pt idx="2">
                  <c:v>350.83333333333331</c:v>
                </c:pt>
                <c:pt idx="3">
                  <c:v>500</c:v>
                </c:pt>
                <c:pt idx="4">
                  <c:v>649.16666666666663</c:v>
                </c:pt>
                <c:pt idx="5">
                  <c:v>798.33333333333326</c:v>
                </c:pt>
                <c:pt idx="6">
                  <c:v>947.5</c:v>
                </c:pt>
              </c:numCache>
            </c:numRef>
          </c:xVal>
          <c:yVal>
            <c:numRef>
              <c:f>'beam design'!$AG$31:$AG$39</c:f>
              <c:numCache>
                <c:formatCode>General</c:formatCode>
                <c:ptCount val="9"/>
                <c:pt idx="0">
                  <c:v>52.5</c:v>
                </c:pt>
                <c:pt idx="1">
                  <c:v>52.5</c:v>
                </c:pt>
                <c:pt idx="2">
                  <c:v>52.5</c:v>
                </c:pt>
                <c:pt idx="3">
                  <c:v>52.5</c:v>
                </c:pt>
                <c:pt idx="4">
                  <c:v>52.5</c:v>
                </c:pt>
                <c:pt idx="5">
                  <c:v>52.5</c:v>
                </c:pt>
                <c:pt idx="6">
                  <c:v>52.5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3E-46AF-B22D-3E51C20D47C4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'beam design'!$AF$42:$AF$51</c:f>
              <c:numCache>
                <c:formatCode>General</c:formatCode>
                <c:ptCount val="10"/>
                <c:pt idx="0">
                  <c:v>52.5</c:v>
                </c:pt>
                <c:pt idx="1">
                  <c:v>350.83333333333331</c:v>
                </c:pt>
                <c:pt idx="2">
                  <c:v>649.16666666666663</c:v>
                </c:pt>
                <c:pt idx="3">
                  <c:v>947.5</c:v>
                </c:pt>
              </c:numCache>
            </c:numRef>
          </c:xVal>
          <c:yVal>
            <c:numRef>
              <c:f>'beam design'!$AG$42:$AG$51</c:f>
              <c:numCache>
                <c:formatCode>General</c:formatCode>
                <c:ptCount val="10"/>
                <c:pt idx="0">
                  <c:v>1447.5</c:v>
                </c:pt>
                <c:pt idx="1">
                  <c:v>1447.5</c:v>
                </c:pt>
                <c:pt idx="2">
                  <c:v>1447.5</c:v>
                </c:pt>
                <c:pt idx="3">
                  <c:v>1447.5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B3E-46AF-B22D-3E51C20D47C4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'beam design'!$AF$55:$AF$59</c:f>
              <c:numCache>
                <c:formatCode>General</c:formatCode>
                <c:ptCount val="5"/>
                <c:pt idx="0">
                  <c:v>35</c:v>
                </c:pt>
                <c:pt idx="1">
                  <c:v>965</c:v>
                </c:pt>
                <c:pt idx="2">
                  <c:v>965</c:v>
                </c:pt>
                <c:pt idx="3">
                  <c:v>35</c:v>
                </c:pt>
                <c:pt idx="4">
                  <c:v>35</c:v>
                </c:pt>
              </c:numCache>
            </c:numRef>
          </c:xVal>
          <c:yVal>
            <c:numRef>
              <c:f>'beam design'!$AG$55:$AG$59</c:f>
              <c:numCache>
                <c:formatCode>General</c:formatCode>
                <c:ptCount val="5"/>
                <c:pt idx="0">
                  <c:v>35</c:v>
                </c:pt>
                <c:pt idx="1">
                  <c:v>35</c:v>
                </c:pt>
                <c:pt idx="2">
                  <c:v>1465</c:v>
                </c:pt>
                <c:pt idx="3">
                  <c:v>1465</c:v>
                </c:pt>
                <c:pt idx="4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B3E-46AF-B22D-3E51C20D4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3880223"/>
        <c:axId val="1823882143"/>
      </c:scatterChart>
      <c:valAx>
        <c:axId val="1823880223"/>
        <c:scaling>
          <c:orientation val="minMax"/>
          <c:max val="1300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1823882143"/>
        <c:crosses val="autoZero"/>
        <c:crossBetween val="midCat"/>
      </c:valAx>
      <c:valAx>
        <c:axId val="1823882143"/>
        <c:scaling>
          <c:orientation val="minMax"/>
          <c:min val="-1"/>
        </c:scaling>
        <c:delete val="1"/>
        <c:axPos val="l"/>
        <c:numFmt formatCode="General" sourceLinked="1"/>
        <c:majorTickMark val="out"/>
        <c:minorTickMark val="none"/>
        <c:tickLblPos val="nextTo"/>
        <c:crossAx val="18238802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900">
                <a:latin typeface="Arial" panose="020B0604020202020204" pitchFamily="34" charset="0"/>
                <a:cs typeface="Arial" panose="020B0604020202020204" pitchFamily="34" charset="0"/>
              </a:rPr>
              <a:t>Section-3</a:t>
            </a:r>
          </a:p>
        </c:rich>
      </c:tx>
      <c:layout>
        <c:manualLayout>
          <c:xMode val="edge"/>
          <c:yMode val="edge"/>
          <c:x val="0.20717502884575958"/>
          <c:y val="6.5906210392902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7819246582616478E-2"/>
          <c:y val="9.6553603876438521E-2"/>
          <c:w val="0.87952917709648004"/>
          <c:h val="0.72662401574803159"/>
        </c:manualLayout>
      </c:layout>
      <c:scatterChart>
        <c:scatterStyle val="lineMarker"/>
        <c:varyColors val="0"/>
        <c:ser>
          <c:idx val="0"/>
          <c:order val="0"/>
          <c:spPr>
            <a:ln w="952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'beam design'!$AI$17:$AI$21</c:f>
              <c:numCache>
                <c:formatCode>General</c:formatCode>
                <c:ptCount val="5"/>
                <c:pt idx="0">
                  <c:v>0</c:v>
                </c:pt>
                <c:pt idx="1">
                  <c:v>1000</c:v>
                </c:pt>
                <c:pt idx="2">
                  <c:v>1000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'beam design'!$AJ$17:$AJ$21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1500</c:v>
                </c:pt>
                <c:pt idx="3">
                  <c:v>1500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1C-4293-87C3-D08A5349456B}"/>
            </c:ext>
          </c:extLst>
        </c:ser>
        <c:ser>
          <c:idx val="1"/>
          <c:order val="1"/>
          <c:spPr>
            <a:ln w="9525" cap="rnd">
              <a:solidFill>
                <a:srgbClr val="0070C0"/>
              </a:solidFill>
              <a:round/>
              <a:headEnd type="triangle" w="med" len="med"/>
              <a:tailEnd type="triangle" w="med" len="med"/>
            </a:ln>
            <a:effectLst/>
          </c:spPr>
          <c:marker>
            <c:symbol val="none"/>
          </c:marker>
          <c:xVal>
            <c:numRef>
              <c:f>'beam design'!$AI$23:$AI$24</c:f>
              <c:numCache>
                <c:formatCode>General</c:formatCode>
                <c:ptCount val="2"/>
                <c:pt idx="0">
                  <c:v>0</c:v>
                </c:pt>
                <c:pt idx="1">
                  <c:v>1000</c:v>
                </c:pt>
              </c:numCache>
            </c:numRef>
          </c:xVal>
          <c:yVal>
            <c:numRef>
              <c:f>'beam design'!$AJ$23:$AJ$24</c:f>
              <c:numCache>
                <c:formatCode>General</c:formatCode>
                <c:ptCount val="2"/>
                <c:pt idx="0">
                  <c:v>1600</c:v>
                </c:pt>
                <c:pt idx="1">
                  <c:v>1600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1C-4293-87C3-D08A5349456B}"/>
            </c:ext>
          </c:extLst>
        </c:ser>
        <c:ser>
          <c:idx val="2"/>
          <c:order val="2"/>
          <c:spPr>
            <a:ln w="9525" cap="rnd">
              <a:solidFill>
                <a:srgbClr val="0070C0"/>
              </a:solidFill>
              <a:round/>
              <a:headEnd type="triangle" w="med" len="med"/>
              <a:tailEnd type="triangle" w="med" len="med"/>
            </a:ln>
            <a:effectLst/>
          </c:spPr>
          <c:marker>
            <c:symbol val="none"/>
          </c:marker>
          <c:xVal>
            <c:numRef>
              <c:f>'beam design'!$AI$25:$AI$26</c:f>
              <c:numCache>
                <c:formatCode>General</c:formatCode>
                <c:ptCount val="2"/>
                <c:pt idx="0">
                  <c:v>1100</c:v>
                </c:pt>
                <c:pt idx="1">
                  <c:v>1100</c:v>
                </c:pt>
              </c:numCache>
            </c:numRef>
          </c:xVal>
          <c:yVal>
            <c:numRef>
              <c:f>'beam design'!$AJ$25:$AJ$26</c:f>
              <c:numCache>
                <c:formatCode>General</c:formatCode>
                <c:ptCount val="2"/>
                <c:pt idx="0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1C-4293-87C3-D08A5349456B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'beam design'!$AJ$31:$AJ$39</c:f>
              <c:numCache>
                <c:formatCode>General</c:formatCode>
                <c:ptCount val="9"/>
                <c:pt idx="0">
                  <c:v>52.5</c:v>
                </c:pt>
                <c:pt idx="1">
                  <c:v>231.5</c:v>
                </c:pt>
                <c:pt idx="2">
                  <c:v>410.5</c:v>
                </c:pt>
                <c:pt idx="3">
                  <c:v>589.5</c:v>
                </c:pt>
                <c:pt idx="4">
                  <c:v>768.5</c:v>
                </c:pt>
                <c:pt idx="5">
                  <c:v>947.5</c:v>
                </c:pt>
              </c:numCache>
            </c:numRef>
          </c:xVal>
          <c:yVal>
            <c:numRef>
              <c:f>'beam design'!$AK$31:$AK$39</c:f>
              <c:numCache>
                <c:formatCode>General</c:formatCode>
                <c:ptCount val="9"/>
                <c:pt idx="0">
                  <c:v>1447.5</c:v>
                </c:pt>
                <c:pt idx="1">
                  <c:v>1447.5</c:v>
                </c:pt>
                <c:pt idx="2">
                  <c:v>1447.5</c:v>
                </c:pt>
                <c:pt idx="3">
                  <c:v>1447.5</c:v>
                </c:pt>
                <c:pt idx="4">
                  <c:v>1447.5</c:v>
                </c:pt>
                <c:pt idx="5">
                  <c:v>1447.5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1C-4293-87C3-D08A5349456B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'beam design'!$AJ$42:$AJ$51</c:f>
              <c:numCache>
                <c:formatCode>General</c:formatCode>
                <c:ptCount val="10"/>
                <c:pt idx="0">
                  <c:v>52.5</c:v>
                </c:pt>
                <c:pt idx="1">
                  <c:v>500</c:v>
                </c:pt>
                <c:pt idx="2">
                  <c:v>947.5</c:v>
                </c:pt>
              </c:numCache>
            </c:numRef>
          </c:xVal>
          <c:yVal>
            <c:numRef>
              <c:f>'beam design'!$AK$42:$AK$51</c:f>
              <c:numCache>
                <c:formatCode>General</c:formatCode>
                <c:ptCount val="10"/>
                <c:pt idx="0">
                  <c:v>52.5</c:v>
                </c:pt>
                <c:pt idx="1">
                  <c:v>52.5</c:v>
                </c:pt>
                <c:pt idx="2">
                  <c:v>52.5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71C-4293-87C3-D08A5349456B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'beam design'!$AJ$55:$AJ$59</c:f>
              <c:numCache>
                <c:formatCode>General</c:formatCode>
                <c:ptCount val="5"/>
                <c:pt idx="0">
                  <c:v>35</c:v>
                </c:pt>
                <c:pt idx="1">
                  <c:v>965</c:v>
                </c:pt>
                <c:pt idx="2">
                  <c:v>965</c:v>
                </c:pt>
                <c:pt idx="3">
                  <c:v>35</c:v>
                </c:pt>
                <c:pt idx="4">
                  <c:v>35</c:v>
                </c:pt>
              </c:numCache>
            </c:numRef>
          </c:xVal>
          <c:yVal>
            <c:numRef>
              <c:f>'beam design'!$AK$55:$AK$59</c:f>
              <c:numCache>
                <c:formatCode>General</c:formatCode>
                <c:ptCount val="5"/>
                <c:pt idx="0">
                  <c:v>35</c:v>
                </c:pt>
                <c:pt idx="1">
                  <c:v>35</c:v>
                </c:pt>
                <c:pt idx="2">
                  <c:v>1465</c:v>
                </c:pt>
                <c:pt idx="3">
                  <c:v>1465</c:v>
                </c:pt>
                <c:pt idx="4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71C-4293-87C3-D08A53494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3880223"/>
        <c:axId val="1823882143"/>
      </c:scatterChart>
      <c:valAx>
        <c:axId val="1823880223"/>
        <c:scaling>
          <c:orientation val="minMax"/>
          <c:max val="1300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1823882143"/>
        <c:crosses val="autoZero"/>
        <c:crossBetween val="midCat"/>
      </c:valAx>
      <c:valAx>
        <c:axId val="1823882143"/>
        <c:scaling>
          <c:orientation val="minMax"/>
          <c:min val="-1"/>
        </c:scaling>
        <c:delete val="1"/>
        <c:axPos val="l"/>
        <c:numFmt formatCode="General" sourceLinked="1"/>
        <c:majorTickMark val="out"/>
        <c:minorTickMark val="none"/>
        <c:tickLblPos val="nextTo"/>
        <c:crossAx val="18238802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120967</xdr:colOff>
      <xdr:row>13</xdr:row>
      <xdr:rowOff>72390</xdr:rowOff>
    </xdr:from>
    <xdr:to>
      <xdr:col>9</xdr:col>
      <xdr:colOff>291465</xdr:colOff>
      <xdr:row>28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B5734C2-8816-0AAE-1DC5-612F3EB8CA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373380</xdr:colOff>
      <xdr:row>13</xdr:row>
      <xdr:rowOff>85725</xdr:rowOff>
    </xdr:from>
    <xdr:to>
      <xdr:col>12</xdr:col>
      <xdr:colOff>85725</xdr:colOff>
      <xdr:row>28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241F16-FF21-444E-B900-9BEE67F8AA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110492</xdr:colOff>
      <xdr:row>28</xdr:row>
      <xdr:rowOff>55246</xdr:rowOff>
    </xdr:from>
    <xdr:to>
      <xdr:col>9</xdr:col>
      <xdr:colOff>171450</xdr:colOff>
      <xdr:row>41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1345A5-CF31-45E5-9246-B96E46C9A2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120015</xdr:colOff>
      <xdr:row>42</xdr:row>
      <xdr:rowOff>123825</xdr:rowOff>
    </xdr:from>
    <xdr:to>
      <xdr:col>11</xdr:col>
      <xdr:colOff>106042</xdr:colOff>
      <xdr:row>54</xdr:row>
      <xdr:rowOff>11430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634AD349-D472-4662-8CAA-C6E48B5283F2}"/>
            </a:ext>
          </a:extLst>
        </xdr:cNvPr>
        <xdr:cNvGrpSpPr/>
      </xdr:nvGrpSpPr>
      <xdr:grpSpPr>
        <a:xfrm>
          <a:off x="121920" y="6421755"/>
          <a:ext cx="5039992" cy="1489710"/>
          <a:chOff x="-78522" y="4107180"/>
          <a:chExt cx="5321082" cy="1417320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B11484DA-69AF-F8FB-922E-87B586534EBC}"/>
              </a:ext>
            </a:extLst>
          </xdr:cNvPr>
          <xdr:cNvGrpSpPr/>
        </xdr:nvGrpSpPr>
        <xdr:grpSpPr>
          <a:xfrm>
            <a:off x="53340" y="4168140"/>
            <a:ext cx="5189220" cy="1356360"/>
            <a:chOff x="53340" y="4168140"/>
            <a:chExt cx="5189220" cy="1356360"/>
          </a:xfrm>
        </xdr:grpSpPr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2E318952-446E-55FA-F5D4-05C1EE1C08B9}"/>
                </a:ext>
              </a:extLst>
            </xdr:cNvPr>
            <xdr:cNvGrpSpPr/>
          </xdr:nvGrpSpPr>
          <xdr:grpSpPr>
            <a:xfrm>
              <a:off x="53340" y="4168140"/>
              <a:ext cx="5189220" cy="1356360"/>
              <a:chOff x="53340" y="4168140"/>
              <a:chExt cx="5189220" cy="1356360"/>
            </a:xfrm>
          </xdr:grpSpPr>
          <xdr:grpSp>
            <xdr:nvGrpSpPr>
              <xdr:cNvPr id="14" name="Group 13">
                <a:extLst>
                  <a:ext uri="{FF2B5EF4-FFF2-40B4-BE49-F238E27FC236}">
                    <a16:creationId xmlns:a16="http://schemas.microsoft.com/office/drawing/2014/main" id="{30611706-6421-A6A7-1644-9B012D4A799F}"/>
                  </a:ext>
                </a:extLst>
              </xdr:cNvPr>
              <xdr:cNvGrpSpPr/>
            </xdr:nvGrpSpPr>
            <xdr:grpSpPr>
              <a:xfrm>
                <a:off x="53340" y="4168140"/>
                <a:ext cx="5189220" cy="1356360"/>
                <a:chOff x="76200" y="3939540"/>
                <a:chExt cx="5189220" cy="1356360"/>
              </a:xfrm>
            </xdr:grpSpPr>
            <xdr:grpSp>
              <xdr:nvGrpSpPr>
                <xdr:cNvPr id="38" name="Group 37">
                  <a:extLst>
                    <a:ext uri="{FF2B5EF4-FFF2-40B4-BE49-F238E27FC236}">
                      <a16:creationId xmlns:a16="http://schemas.microsoft.com/office/drawing/2014/main" id="{9FAAE30C-2354-4132-CC2E-FCAC60F9283F}"/>
                    </a:ext>
                  </a:extLst>
                </xdr:cNvPr>
                <xdr:cNvGrpSpPr/>
              </xdr:nvGrpSpPr>
              <xdr:grpSpPr>
                <a:xfrm>
                  <a:off x="76200" y="4335780"/>
                  <a:ext cx="5189220" cy="510540"/>
                  <a:chOff x="83820" y="4328160"/>
                  <a:chExt cx="5189220" cy="510540"/>
                </a:xfrm>
              </xdr:grpSpPr>
              <xdr:sp macro="" textlink="">
                <xdr:nvSpPr>
                  <xdr:cNvPr id="57" name="Rectangle 56">
                    <a:extLst>
                      <a:ext uri="{FF2B5EF4-FFF2-40B4-BE49-F238E27FC236}">
                        <a16:creationId xmlns:a16="http://schemas.microsoft.com/office/drawing/2014/main" id="{2C6E2F81-2739-EE6F-21D8-86F27F986FD8}"/>
                      </a:ext>
                    </a:extLst>
                  </xdr:cNvPr>
                  <xdr:cNvSpPr/>
                </xdr:nvSpPr>
                <xdr:spPr>
                  <a:xfrm>
                    <a:off x="83820" y="4328160"/>
                    <a:ext cx="4175760" cy="510540"/>
                  </a:xfrm>
                  <a:prstGeom prst="rect">
                    <a:avLst/>
                  </a:prstGeom>
                  <a:noFill/>
                  <a:ln w="9525">
                    <a:solidFill>
                      <a:sysClr val="windowText" lastClr="000000"/>
                    </a:solidFill>
                  </a:ln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cxnSp macro="">
                <xdr:nvCxnSpPr>
                  <xdr:cNvPr id="58" name="Straight Connector 57">
                    <a:extLst>
                      <a:ext uri="{FF2B5EF4-FFF2-40B4-BE49-F238E27FC236}">
                        <a16:creationId xmlns:a16="http://schemas.microsoft.com/office/drawing/2014/main" id="{F9E91892-56D2-9688-E001-AAC734F29A81}"/>
                      </a:ext>
                    </a:extLst>
                  </xdr:cNvPr>
                  <xdr:cNvCxnSpPr/>
                </xdr:nvCxnSpPr>
                <xdr:spPr>
                  <a:xfrm>
                    <a:off x="106680" y="4389120"/>
                    <a:ext cx="1112520" cy="0"/>
                  </a:xfrm>
                  <a:prstGeom prst="line">
                    <a:avLst/>
                  </a:prstGeom>
                  <a:ln w="19050"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59" name="Straight Connector 58">
                    <a:extLst>
                      <a:ext uri="{FF2B5EF4-FFF2-40B4-BE49-F238E27FC236}">
                        <a16:creationId xmlns:a16="http://schemas.microsoft.com/office/drawing/2014/main" id="{F6831C84-D620-9747-EBF4-F564FE3F2D98}"/>
                      </a:ext>
                    </a:extLst>
                  </xdr:cNvPr>
                  <xdr:cNvCxnSpPr/>
                </xdr:nvCxnSpPr>
                <xdr:spPr>
                  <a:xfrm>
                    <a:off x="1013460" y="4770120"/>
                    <a:ext cx="2286000" cy="0"/>
                  </a:xfrm>
                  <a:prstGeom prst="line">
                    <a:avLst/>
                  </a:prstGeom>
                  <a:ln w="19050"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60" name="Straight Connector 59">
                    <a:extLst>
                      <a:ext uri="{FF2B5EF4-FFF2-40B4-BE49-F238E27FC236}">
                        <a16:creationId xmlns:a16="http://schemas.microsoft.com/office/drawing/2014/main" id="{9BEAFE26-7195-E0B9-258C-CA783E7F9620}"/>
                      </a:ext>
                    </a:extLst>
                  </xdr:cNvPr>
                  <xdr:cNvCxnSpPr/>
                </xdr:nvCxnSpPr>
                <xdr:spPr>
                  <a:xfrm>
                    <a:off x="3108960" y="4389120"/>
                    <a:ext cx="1112520" cy="0"/>
                  </a:xfrm>
                  <a:prstGeom prst="line">
                    <a:avLst/>
                  </a:prstGeom>
                  <a:ln w="19050"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61" name="Straight Connector 60">
                    <a:extLst>
                      <a:ext uri="{FF2B5EF4-FFF2-40B4-BE49-F238E27FC236}">
                        <a16:creationId xmlns:a16="http://schemas.microsoft.com/office/drawing/2014/main" id="{F8AC95EA-21CA-8BEB-0B4E-21A17F0C2D25}"/>
                      </a:ext>
                    </a:extLst>
                  </xdr:cNvPr>
                  <xdr:cNvCxnSpPr/>
                </xdr:nvCxnSpPr>
                <xdr:spPr>
                  <a:xfrm>
                    <a:off x="114300" y="4770120"/>
                    <a:ext cx="1188720" cy="0"/>
                  </a:xfrm>
                  <a:prstGeom prst="line">
                    <a:avLst/>
                  </a:prstGeom>
                  <a:ln w="9525"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62" name="Straight Connector 61">
                    <a:extLst>
                      <a:ext uri="{FF2B5EF4-FFF2-40B4-BE49-F238E27FC236}">
                        <a16:creationId xmlns:a16="http://schemas.microsoft.com/office/drawing/2014/main" id="{A867E2B1-E241-5A52-76DF-7C43E28409DA}"/>
                      </a:ext>
                    </a:extLst>
                  </xdr:cNvPr>
                  <xdr:cNvCxnSpPr/>
                </xdr:nvCxnSpPr>
                <xdr:spPr>
                  <a:xfrm>
                    <a:off x="1120140" y="4389120"/>
                    <a:ext cx="2103120" cy="0"/>
                  </a:xfrm>
                  <a:prstGeom prst="line">
                    <a:avLst/>
                  </a:prstGeom>
                  <a:ln w="9525"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63" name="Straight Connector 62">
                    <a:extLst>
                      <a:ext uri="{FF2B5EF4-FFF2-40B4-BE49-F238E27FC236}">
                        <a16:creationId xmlns:a16="http://schemas.microsoft.com/office/drawing/2014/main" id="{C4FD7B4A-49ED-5BE4-E13F-EC6E623798BD}"/>
                      </a:ext>
                    </a:extLst>
                  </xdr:cNvPr>
                  <xdr:cNvCxnSpPr/>
                </xdr:nvCxnSpPr>
                <xdr:spPr>
                  <a:xfrm>
                    <a:off x="3032760" y="4770120"/>
                    <a:ext cx="1188720" cy="0"/>
                  </a:xfrm>
                  <a:prstGeom prst="line">
                    <a:avLst/>
                  </a:prstGeom>
                  <a:ln w="9525"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64" name="Straight Connector 63">
                    <a:extLst>
                      <a:ext uri="{FF2B5EF4-FFF2-40B4-BE49-F238E27FC236}">
                        <a16:creationId xmlns:a16="http://schemas.microsoft.com/office/drawing/2014/main" id="{09557A4E-8A39-4459-C31D-3529F7BC5A1E}"/>
                      </a:ext>
                    </a:extLst>
                  </xdr:cNvPr>
                  <xdr:cNvCxnSpPr/>
                </xdr:nvCxnSpPr>
                <xdr:spPr>
                  <a:xfrm>
                    <a:off x="3093720" y="4556962"/>
                    <a:ext cx="1097280" cy="0"/>
                  </a:xfrm>
                  <a:prstGeom prst="line">
                    <a:avLst/>
                  </a:prstGeom>
                  <a:ln w="9525">
                    <a:solidFill>
                      <a:sysClr val="windowText" lastClr="000000"/>
                    </a:solidFill>
                    <a:headEnd type="arrow" w="med" len="med"/>
                    <a:tailEnd type="arrow" w="med" len="med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65" name="Straight Connector 64">
                    <a:extLst>
                      <a:ext uri="{FF2B5EF4-FFF2-40B4-BE49-F238E27FC236}">
                        <a16:creationId xmlns:a16="http://schemas.microsoft.com/office/drawing/2014/main" id="{E2B54250-591D-DF4E-C794-C81794B55892}"/>
                      </a:ext>
                    </a:extLst>
                  </xdr:cNvPr>
                  <xdr:cNvCxnSpPr/>
                </xdr:nvCxnSpPr>
                <xdr:spPr>
                  <a:xfrm>
                    <a:off x="4175760" y="4556962"/>
                    <a:ext cx="1097280" cy="0"/>
                  </a:xfrm>
                  <a:prstGeom prst="line">
                    <a:avLst/>
                  </a:prstGeom>
                  <a:ln w="9525">
                    <a:solidFill>
                      <a:sysClr val="windowText" lastClr="000000"/>
                    </a:solidFill>
                    <a:headEnd type="none" w="med" len="med"/>
                    <a:tailEnd type="none" w="med" len="med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66" name="Straight Connector 65">
                    <a:extLst>
                      <a:ext uri="{FF2B5EF4-FFF2-40B4-BE49-F238E27FC236}">
                        <a16:creationId xmlns:a16="http://schemas.microsoft.com/office/drawing/2014/main" id="{5C01E0B5-416A-194D-77B5-7E846A52BDB8}"/>
                      </a:ext>
                    </a:extLst>
                  </xdr:cNvPr>
                  <xdr:cNvCxnSpPr/>
                </xdr:nvCxnSpPr>
                <xdr:spPr>
                  <a:xfrm>
                    <a:off x="129540" y="4549342"/>
                    <a:ext cx="1097280" cy="0"/>
                  </a:xfrm>
                  <a:prstGeom prst="line">
                    <a:avLst/>
                  </a:prstGeom>
                  <a:ln w="9525">
                    <a:solidFill>
                      <a:sysClr val="windowText" lastClr="000000"/>
                    </a:solidFill>
                    <a:headEnd type="arrow" w="med" len="med"/>
                    <a:tailEnd type="arrow" w="med" len="med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67" name="Straight Connector 66">
                    <a:extLst>
                      <a:ext uri="{FF2B5EF4-FFF2-40B4-BE49-F238E27FC236}">
                        <a16:creationId xmlns:a16="http://schemas.microsoft.com/office/drawing/2014/main" id="{E460356F-BA26-CD4C-566B-10F567B631B5}"/>
                      </a:ext>
                    </a:extLst>
                  </xdr:cNvPr>
                  <xdr:cNvCxnSpPr/>
                </xdr:nvCxnSpPr>
                <xdr:spPr>
                  <a:xfrm>
                    <a:off x="1223399" y="4553325"/>
                    <a:ext cx="1872783" cy="0"/>
                  </a:xfrm>
                  <a:prstGeom prst="line">
                    <a:avLst/>
                  </a:prstGeom>
                  <a:ln w="9525">
                    <a:solidFill>
                      <a:sysClr val="windowText" lastClr="000000"/>
                    </a:solidFill>
                    <a:headEnd type="arrow" w="med" len="med"/>
                    <a:tailEnd type="arrow" w="med" len="med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39" name="Straight Arrow Connector 38">
                  <a:extLst>
                    <a:ext uri="{FF2B5EF4-FFF2-40B4-BE49-F238E27FC236}">
                      <a16:creationId xmlns:a16="http://schemas.microsoft.com/office/drawing/2014/main" id="{1A24F67B-CD6E-B525-333C-997145D13A2C}"/>
                    </a:ext>
                  </a:extLst>
                </xdr:cNvPr>
                <xdr:cNvCxnSpPr/>
              </xdr:nvCxnSpPr>
              <xdr:spPr>
                <a:xfrm flipH="1">
                  <a:off x="1650028" y="4770120"/>
                  <a:ext cx="514052" cy="376494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headEnd type="arrow" w="med" len="med"/>
                  <a:tailEnd type="none" w="med" len="med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0" name="Straight Connector 39">
                  <a:extLst>
                    <a:ext uri="{FF2B5EF4-FFF2-40B4-BE49-F238E27FC236}">
                      <a16:creationId xmlns:a16="http://schemas.microsoft.com/office/drawing/2014/main" id="{CC629ED2-162A-2517-D2F8-90BCAD92C1CA}"/>
                    </a:ext>
                  </a:extLst>
                </xdr:cNvPr>
                <xdr:cNvCxnSpPr/>
              </xdr:nvCxnSpPr>
              <xdr:spPr>
                <a:xfrm flipH="1">
                  <a:off x="936456" y="5150362"/>
                  <a:ext cx="713232" cy="0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1" name="Straight Arrow Connector 40">
                  <a:extLst>
                    <a:ext uri="{FF2B5EF4-FFF2-40B4-BE49-F238E27FC236}">
                      <a16:creationId xmlns:a16="http://schemas.microsoft.com/office/drawing/2014/main" id="{97200666-87BF-16D8-0E64-CDF3FE77CA51}"/>
                    </a:ext>
                  </a:extLst>
                </xdr:cNvPr>
                <xdr:cNvCxnSpPr/>
              </xdr:nvCxnSpPr>
              <xdr:spPr>
                <a:xfrm flipH="1">
                  <a:off x="3307080" y="4152900"/>
                  <a:ext cx="381000" cy="24384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headEnd type="none" w="med" len="med"/>
                  <a:tailEnd type="arrow" w="med" len="med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2" name="Straight Connector 41">
                  <a:extLst>
                    <a:ext uri="{FF2B5EF4-FFF2-40B4-BE49-F238E27FC236}">
                      <a16:creationId xmlns:a16="http://schemas.microsoft.com/office/drawing/2014/main" id="{EB1FBFD1-0CFA-3C16-99EF-C49FE59589D0}"/>
                    </a:ext>
                  </a:extLst>
                </xdr:cNvPr>
                <xdr:cNvCxnSpPr/>
              </xdr:nvCxnSpPr>
              <xdr:spPr>
                <a:xfrm flipH="1">
                  <a:off x="3680460" y="4152900"/>
                  <a:ext cx="640080" cy="0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3" name="Straight Arrow Connector 42">
                  <a:extLst>
                    <a:ext uri="{FF2B5EF4-FFF2-40B4-BE49-F238E27FC236}">
                      <a16:creationId xmlns:a16="http://schemas.microsoft.com/office/drawing/2014/main" id="{96862732-C14F-5B37-A1B4-EDAB0F4D0B21}"/>
                    </a:ext>
                  </a:extLst>
                </xdr:cNvPr>
                <xdr:cNvCxnSpPr/>
              </xdr:nvCxnSpPr>
              <xdr:spPr>
                <a:xfrm flipH="1">
                  <a:off x="297180" y="4160520"/>
                  <a:ext cx="175260" cy="22098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headEnd type="none" w="med" len="med"/>
                  <a:tailEnd type="arrow" w="med" len="med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4" name="Straight Connector 43">
                  <a:extLst>
                    <a:ext uri="{FF2B5EF4-FFF2-40B4-BE49-F238E27FC236}">
                      <a16:creationId xmlns:a16="http://schemas.microsoft.com/office/drawing/2014/main" id="{C6E5E808-7DD6-17A4-E1A9-61C6C93D06B0}"/>
                    </a:ext>
                  </a:extLst>
                </xdr:cNvPr>
                <xdr:cNvCxnSpPr/>
              </xdr:nvCxnSpPr>
              <xdr:spPr>
                <a:xfrm flipH="1">
                  <a:off x="480060" y="4160520"/>
                  <a:ext cx="640080" cy="0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5" name="Straight Arrow Connector 44">
                  <a:extLst>
                    <a:ext uri="{FF2B5EF4-FFF2-40B4-BE49-F238E27FC236}">
                      <a16:creationId xmlns:a16="http://schemas.microsoft.com/office/drawing/2014/main" id="{37712C9E-57AC-BA01-8DD6-7EDD96CA1C7A}"/>
                    </a:ext>
                  </a:extLst>
                </xdr:cNvPr>
                <xdr:cNvCxnSpPr/>
              </xdr:nvCxnSpPr>
              <xdr:spPr>
                <a:xfrm flipH="1">
                  <a:off x="1210732" y="4164850"/>
                  <a:ext cx="330758" cy="395892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headEnd type="none" w="med" len="med"/>
                  <a:tailEnd type="arrow" w="med" len="med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6" name="Straight Connector 45">
                  <a:extLst>
                    <a:ext uri="{FF2B5EF4-FFF2-40B4-BE49-F238E27FC236}">
                      <a16:creationId xmlns:a16="http://schemas.microsoft.com/office/drawing/2014/main" id="{7BA83E40-2B2E-FCEC-011F-C275C8AF3875}"/>
                    </a:ext>
                  </a:extLst>
                </xdr:cNvPr>
                <xdr:cNvCxnSpPr/>
              </xdr:nvCxnSpPr>
              <xdr:spPr>
                <a:xfrm flipH="1">
                  <a:off x="1533851" y="4157511"/>
                  <a:ext cx="1098942" cy="0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7" name="Straight Arrow Connector 46">
                  <a:extLst>
                    <a:ext uri="{FF2B5EF4-FFF2-40B4-BE49-F238E27FC236}">
                      <a16:creationId xmlns:a16="http://schemas.microsoft.com/office/drawing/2014/main" id="{0B562B39-683E-7CEB-28CB-7CD18F875507}"/>
                    </a:ext>
                  </a:extLst>
                </xdr:cNvPr>
                <xdr:cNvCxnSpPr/>
              </xdr:nvCxnSpPr>
              <xdr:spPr>
                <a:xfrm>
                  <a:off x="2402539" y="4571814"/>
                  <a:ext cx="413220" cy="595896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headEnd type="arrow" w="med" len="med"/>
                  <a:tailEnd type="none" w="med" len="med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" name="Straight Arrow Connector 47">
                  <a:extLst>
                    <a:ext uri="{FF2B5EF4-FFF2-40B4-BE49-F238E27FC236}">
                      <a16:creationId xmlns:a16="http://schemas.microsoft.com/office/drawing/2014/main" id="{9B6CFB47-A24C-E7DD-534E-49EBB576327B}"/>
                    </a:ext>
                  </a:extLst>
                </xdr:cNvPr>
                <xdr:cNvCxnSpPr/>
              </xdr:nvCxnSpPr>
              <xdr:spPr>
                <a:xfrm flipH="1">
                  <a:off x="723900" y="4792980"/>
                  <a:ext cx="0" cy="43434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" name="Straight Arrow Connector 48">
                  <a:extLst>
                    <a:ext uri="{FF2B5EF4-FFF2-40B4-BE49-F238E27FC236}">
                      <a16:creationId xmlns:a16="http://schemas.microsoft.com/office/drawing/2014/main" id="{DE1F8989-8981-1782-287F-F26CBC95E100}"/>
                    </a:ext>
                  </a:extLst>
                </xdr:cNvPr>
                <xdr:cNvCxnSpPr/>
              </xdr:nvCxnSpPr>
              <xdr:spPr>
                <a:xfrm flipH="1">
                  <a:off x="739140" y="3939540"/>
                  <a:ext cx="0" cy="43434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" name="Straight Arrow Connector 49">
                  <a:extLst>
                    <a:ext uri="{FF2B5EF4-FFF2-40B4-BE49-F238E27FC236}">
                      <a16:creationId xmlns:a16="http://schemas.microsoft.com/office/drawing/2014/main" id="{D1AAFAEF-7818-374B-E2D3-948705710D69}"/>
                    </a:ext>
                  </a:extLst>
                </xdr:cNvPr>
                <xdr:cNvCxnSpPr/>
              </xdr:nvCxnSpPr>
              <xdr:spPr>
                <a:xfrm flipH="1">
                  <a:off x="2423160" y="4815840"/>
                  <a:ext cx="0" cy="43434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1" name="Straight Arrow Connector 50">
                  <a:extLst>
                    <a:ext uri="{FF2B5EF4-FFF2-40B4-BE49-F238E27FC236}">
                      <a16:creationId xmlns:a16="http://schemas.microsoft.com/office/drawing/2014/main" id="{BD832F0E-07FA-E496-1153-88E9FA2AE2BC}"/>
                    </a:ext>
                  </a:extLst>
                </xdr:cNvPr>
                <xdr:cNvCxnSpPr/>
              </xdr:nvCxnSpPr>
              <xdr:spPr>
                <a:xfrm flipH="1">
                  <a:off x="2438400" y="3962400"/>
                  <a:ext cx="0" cy="43434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2" name="Straight Arrow Connector 51">
                  <a:extLst>
                    <a:ext uri="{FF2B5EF4-FFF2-40B4-BE49-F238E27FC236}">
                      <a16:creationId xmlns:a16="http://schemas.microsoft.com/office/drawing/2014/main" id="{ECC47AED-2F75-F1B8-57B4-0FEF8FE18796}"/>
                    </a:ext>
                  </a:extLst>
                </xdr:cNvPr>
                <xdr:cNvCxnSpPr/>
              </xdr:nvCxnSpPr>
              <xdr:spPr>
                <a:xfrm flipH="1">
                  <a:off x="3627120" y="4861560"/>
                  <a:ext cx="0" cy="43434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3" name="Straight Arrow Connector 52">
                  <a:extLst>
                    <a:ext uri="{FF2B5EF4-FFF2-40B4-BE49-F238E27FC236}">
                      <a16:creationId xmlns:a16="http://schemas.microsoft.com/office/drawing/2014/main" id="{49A2DA1A-9941-28CC-C3BE-6C5DC4538453}"/>
                    </a:ext>
                  </a:extLst>
                </xdr:cNvPr>
                <xdr:cNvCxnSpPr/>
              </xdr:nvCxnSpPr>
              <xdr:spPr>
                <a:xfrm flipH="1">
                  <a:off x="3642360" y="4008120"/>
                  <a:ext cx="0" cy="43434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headEnd type="none" w="med" len="med"/>
                  <a:tailEnd type="none" w="med" len="med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4" name="Straight Connector 53">
                  <a:extLst>
                    <a:ext uri="{FF2B5EF4-FFF2-40B4-BE49-F238E27FC236}">
                      <a16:creationId xmlns:a16="http://schemas.microsoft.com/office/drawing/2014/main" id="{632A8413-CB1A-EB8B-6E0A-496AA1F956F6}"/>
                    </a:ext>
                  </a:extLst>
                </xdr:cNvPr>
                <xdr:cNvCxnSpPr/>
              </xdr:nvCxnSpPr>
              <xdr:spPr>
                <a:xfrm flipH="1">
                  <a:off x="266700" y="5135880"/>
                  <a:ext cx="457200" cy="0"/>
                </a:xfrm>
                <a:prstGeom prst="line">
                  <a:avLst/>
                </a:prstGeom>
                <a:ln>
                  <a:headEnd type="arrow" w="med" len="med"/>
                  <a:tailEnd type="none" w="med" len="med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5" name="Straight Connector 54">
                  <a:extLst>
                    <a:ext uri="{FF2B5EF4-FFF2-40B4-BE49-F238E27FC236}">
                      <a16:creationId xmlns:a16="http://schemas.microsoft.com/office/drawing/2014/main" id="{E075935E-0193-E8A8-201B-C6D2004373DB}"/>
                    </a:ext>
                  </a:extLst>
                </xdr:cNvPr>
                <xdr:cNvCxnSpPr/>
              </xdr:nvCxnSpPr>
              <xdr:spPr>
                <a:xfrm flipH="1">
                  <a:off x="1965960" y="5173980"/>
                  <a:ext cx="457200" cy="0"/>
                </a:xfrm>
                <a:prstGeom prst="line">
                  <a:avLst/>
                </a:prstGeom>
                <a:ln>
                  <a:headEnd type="arrow" w="med" len="med"/>
                  <a:tailEnd type="none" w="med" len="med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6" name="Straight Connector 55">
                  <a:extLst>
                    <a:ext uri="{FF2B5EF4-FFF2-40B4-BE49-F238E27FC236}">
                      <a16:creationId xmlns:a16="http://schemas.microsoft.com/office/drawing/2014/main" id="{237D238D-CEBE-2305-8948-B96457A5EC8F}"/>
                    </a:ext>
                  </a:extLst>
                </xdr:cNvPr>
                <xdr:cNvCxnSpPr/>
              </xdr:nvCxnSpPr>
              <xdr:spPr>
                <a:xfrm flipH="1">
                  <a:off x="3192780" y="4084320"/>
                  <a:ext cx="457200" cy="0"/>
                </a:xfrm>
                <a:prstGeom prst="line">
                  <a:avLst/>
                </a:prstGeom>
                <a:ln>
                  <a:headEnd type="arrow" w="med" len="med"/>
                  <a:tailEnd type="none" w="med" len="med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5" name="Straight Connector 14">
                <a:extLst>
                  <a:ext uri="{FF2B5EF4-FFF2-40B4-BE49-F238E27FC236}">
                    <a16:creationId xmlns:a16="http://schemas.microsoft.com/office/drawing/2014/main" id="{98F6A068-9B60-C44E-A9B2-EFFB1114CFF8}"/>
                  </a:ext>
                </a:extLst>
              </xdr:cNvPr>
              <xdr:cNvCxnSpPr/>
            </xdr:nvCxnSpPr>
            <xdr:spPr>
              <a:xfrm>
                <a:off x="167640" y="4625340"/>
                <a:ext cx="0" cy="384048"/>
              </a:xfrm>
              <a:prstGeom prst="line">
                <a:avLst/>
              </a:prstGeom>
              <a:ln w="28575">
                <a:solidFill>
                  <a:srgbClr val="0070C0"/>
                </a:solidFill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6" name="Straight Connector 15">
                <a:extLst>
                  <a:ext uri="{FF2B5EF4-FFF2-40B4-BE49-F238E27FC236}">
                    <a16:creationId xmlns:a16="http://schemas.microsoft.com/office/drawing/2014/main" id="{E16DC5FB-F774-3AF4-E9CC-97CB827B5F3B}"/>
                  </a:ext>
                </a:extLst>
              </xdr:cNvPr>
              <xdr:cNvCxnSpPr/>
            </xdr:nvCxnSpPr>
            <xdr:spPr>
              <a:xfrm>
                <a:off x="281940" y="4625340"/>
                <a:ext cx="0" cy="384048"/>
              </a:xfrm>
              <a:prstGeom prst="line">
                <a:avLst/>
              </a:prstGeom>
              <a:ln w="28575">
                <a:solidFill>
                  <a:srgbClr val="0070C0"/>
                </a:solidFill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7" name="Straight Connector 16">
                <a:extLst>
                  <a:ext uri="{FF2B5EF4-FFF2-40B4-BE49-F238E27FC236}">
                    <a16:creationId xmlns:a16="http://schemas.microsoft.com/office/drawing/2014/main" id="{FDDDEF0E-55E5-DC7A-808A-EF4C887F2FA7}"/>
                  </a:ext>
                </a:extLst>
              </xdr:cNvPr>
              <xdr:cNvCxnSpPr/>
            </xdr:nvCxnSpPr>
            <xdr:spPr>
              <a:xfrm>
                <a:off x="419100" y="4625340"/>
                <a:ext cx="0" cy="384048"/>
              </a:xfrm>
              <a:prstGeom prst="line">
                <a:avLst/>
              </a:prstGeom>
              <a:ln w="28575">
                <a:solidFill>
                  <a:srgbClr val="0070C0"/>
                </a:solidFill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8" name="Straight Connector 17">
                <a:extLst>
                  <a:ext uri="{FF2B5EF4-FFF2-40B4-BE49-F238E27FC236}">
                    <a16:creationId xmlns:a16="http://schemas.microsoft.com/office/drawing/2014/main" id="{6C41A9F9-E4D9-FC9F-593B-478E77FF6217}"/>
                  </a:ext>
                </a:extLst>
              </xdr:cNvPr>
              <xdr:cNvCxnSpPr/>
            </xdr:nvCxnSpPr>
            <xdr:spPr>
              <a:xfrm>
                <a:off x="571500" y="4625340"/>
                <a:ext cx="0" cy="384048"/>
              </a:xfrm>
              <a:prstGeom prst="line">
                <a:avLst/>
              </a:prstGeom>
              <a:ln w="28575">
                <a:solidFill>
                  <a:srgbClr val="0070C0"/>
                </a:solidFill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9" name="Straight Connector 18">
                <a:extLst>
                  <a:ext uri="{FF2B5EF4-FFF2-40B4-BE49-F238E27FC236}">
                    <a16:creationId xmlns:a16="http://schemas.microsoft.com/office/drawing/2014/main" id="{94488AFD-E64F-9D59-AA0C-DC677BDEC9AA}"/>
                  </a:ext>
                </a:extLst>
              </xdr:cNvPr>
              <xdr:cNvCxnSpPr/>
            </xdr:nvCxnSpPr>
            <xdr:spPr>
              <a:xfrm>
                <a:off x="701040" y="4617720"/>
                <a:ext cx="0" cy="384048"/>
              </a:xfrm>
              <a:prstGeom prst="line">
                <a:avLst/>
              </a:prstGeom>
              <a:ln w="28575">
                <a:solidFill>
                  <a:srgbClr val="0070C0"/>
                </a:solidFill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20" name="Straight Connector 19">
                <a:extLst>
                  <a:ext uri="{FF2B5EF4-FFF2-40B4-BE49-F238E27FC236}">
                    <a16:creationId xmlns:a16="http://schemas.microsoft.com/office/drawing/2014/main" id="{D0489AEF-4943-6F48-E68B-7C9172858D03}"/>
                  </a:ext>
                </a:extLst>
              </xdr:cNvPr>
              <xdr:cNvCxnSpPr/>
            </xdr:nvCxnSpPr>
            <xdr:spPr>
              <a:xfrm>
                <a:off x="838200" y="4625340"/>
                <a:ext cx="0" cy="384048"/>
              </a:xfrm>
              <a:prstGeom prst="line">
                <a:avLst/>
              </a:prstGeom>
              <a:ln w="28575">
                <a:solidFill>
                  <a:srgbClr val="0070C0"/>
                </a:solidFill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21" name="Straight Connector 20">
                <a:extLst>
                  <a:ext uri="{FF2B5EF4-FFF2-40B4-BE49-F238E27FC236}">
                    <a16:creationId xmlns:a16="http://schemas.microsoft.com/office/drawing/2014/main" id="{0ECA356F-523C-9534-5390-01F5B61652D8}"/>
                  </a:ext>
                </a:extLst>
              </xdr:cNvPr>
              <xdr:cNvCxnSpPr/>
            </xdr:nvCxnSpPr>
            <xdr:spPr>
              <a:xfrm>
                <a:off x="990600" y="4617720"/>
                <a:ext cx="0" cy="384048"/>
              </a:xfrm>
              <a:prstGeom prst="line">
                <a:avLst/>
              </a:prstGeom>
              <a:ln w="28575">
                <a:solidFill>
                  <a:srgbClr val="0070C0"/>
                </a:solidFill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22" name="Straight Connector 21">
                <a:extLst>
                  <a:ext uri="{FF2B5EF4-FFF2-40B4-BE49-F238E27FC236}">
                    <a16:creationId xmlns:a16="http://schemas.microsoft.com/office/drawing/2014/main" id="{BEF62F2E-1D3C-3836-1ECF-BE457436C906}"/>
                  </a:ext>
                </a:extLst>
              </xdr:cNvPr>
              <xdr:cNvCxnSpPr/>
            </xdr:nvCxnSpPr>
            <xdr:spPr>
              <a:xfrm>
                <a:off x="3322320" y="4640580"/>
                <a:ext cx="0" cy="384048"/>
              </a:xfrm>
              <a:prstGeom prst="line">
                <a:avLst/>
              </a:prstGeom>
              <a:ln w="28575">
                <a:solidFill>
                  <a:srgbClr val="0070C0"/>
                </a:solidFill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23" name="Straight Connector 22">
                <a:extLst>
                  <a:ext uri="{FF2B5EF4-FFF2-40B4-BE49-F238E27FC236}">
                    <a16:creationId xmlns:a16="http://schemas.microsoft.com/office/drawing/2014/main" id="{893DC761-7C27-A010-E0FD-88B5E83325D9}"/>
                  </a:ext>
                </a:extLst>
              </xdr:cNvPr>
              <xdr:cNvCxnSpPr/>
            </xdr:nvCxnSpPr>
            <xdr:spPr>
              <a:xfrm>
                <a:off x="3436620" y="4640580"/>
                <a:ext cx="0" cy="384048"/>
              </a:xfrm>
              <a:prstGeom prst="line">
                <a:avLst/>
              </a:prstGeom>
              <a:ln w="28575">
                <a:solidFill>
                  <a:srgbClr val="0070C0"/>
                </a:solidFill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24" name="Straight Connector 23">
                <a:extLst>
                  <a:ext uri="{FF2B5EF4-FFF2-40B4-BE49-F238E27FC236}">
                    <a16:creationId xmlns:a16="http://schemas.microsoft.com/office/drawing/2014/main" id="{273E9E47-2707-A336-08D9-F2E87002930D}"/>
                  </a:ext>
                </a:extLst>
              </xdr:cNvPr>
              <xdr:cNvCxnSpPr/>
            </xdr:nvCxnSpPr>
            <xdr:spPr>
              <a:xfrm>
                <a:off x="3573780" y="4640580"/>
                <a:ext cx="0" cy="384048"/>
              </a:xfrm>
              <a:prstGeom prst="line">
                <a:avLst/>
              </a:prstGeom>
              <a:ln w="28575">
                <a:solidFill>
                  <a:srgbClr val="0070C0"/>
                </a:solidFill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25" name="Straight Connector 24">
                <a:extLst>
                  <a:ext uri="{FF2B5EF4-FFF2-40B4-BE49-F238E27FC236}">
                    <a16:creationId xmlns:a16="http://schemas.microsoft.com/office/drawing/2014/main" id="{BFDE5552-9710-3649-06F5-B712BA088106}"/>
                  </a:ext>
                </a:extLst>
              </xdr:cNvPr>
              <xdr:cNvCxnSpPr/>
            </xdr:nvCxnSpPr>
            <xdr:spPr>
              <a:xfrm>
                <a:off x="3726180" y="4640580"/>
                <a:ext cx="0" cy="384048"/>
              </a:xfrm>
              <a:prstGeom prst="line">
                <a:avLst/>
              </a:prstGeom>
              <a:ln w="28575">
                <a:solidFill>
                  <a:srgbClr val="0070C0"/>
                </a:solidFill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26" name="Straight Connector 25">
                <a:extLst>
                  <a:ext uri="{FF2B5EF4-FFF2-40B4-BE49-F238E27FC236}">
                    <a16:creationId xmlns:a16="http://schemas.microsoft.com/office/drawing/2014/main" id="{70C85777-C140-790E-89BE-15CFC06313E5}"/>
                  </a:ext>
                </a:extLst>
              </xdr:cNvPr>
              <xdr:cNvCxnSpPr/>
            </xdr:nvCxnSpPr>
            <xdr:spPr>
              <a:xfrm>
                <a:off x="3855720" y="4632960"/>
                <a:ext cx="0" cy="384048"/>
              </a:xfrm>
              <a:prstGeom prst="line">
                <a:avLst/>
              </a:prstGeom>
              <a:ln w="28575">
                <a:solidFill>
                  <a:srgbClr val="0070C0"/>
                </a:solidFill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27" name="Straight Connector 26">
                <a:extLst>
                  <a:ext uri="{FF2B5EF4-FFF2-40B4-BE49-F238E27FC236}">
                    <a16:creationId xmlns:a16="http://schemas.microsoft.com/office/drawing/2014/main" id="{DCDF05E8-1EE5-A8CD-3F4D-8AC81DBC6CD7}"/>
                  </a:ext>
                </a:extLst>
              </xdr:cNvPr>
              <xdr:cNvCxnSpPr/>
            </xdr:nvCxnSpPr>
            <xdr:spPr>
              <a:xfrm>
                <a:off x="3992880" y="4640580"/>
                <a:ext cx="0" cy="384048"/>
              </a:xfrm>
              <a:prstGeom prst="line">
                <a:avLst/>
              </a:prstGeom>
              <a:ln w="28575">
                <a:solidFill>
                  <a:srgbClr val="0070C0"/>
                </a:solidFill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28" name="Straight Connector 27">
                <a:extLst>
                  <a:ext uri="{FF2B5EF4-FFF2-40B4-BE49-F238E27FC236}">
                    <a16:creationId xmlns:a16="http://schemas.microsoft.com/office/drawing/2014/main" id="{2BFCF5EA-7DD7-443F-462F-90ED994B5C47}"/>
                  </a:ext>
                </a:extLst>
              </xdr:cNvPr>
              <xdr:cNvCxnSpPr/>
            </xdr:nvCxnSpPr>
            <xdr:spPr>
              <a:xfrm>
                <a:off x="4145280" y="4632960"/>
                <a:ext cx="0" cy="384048"/>
              </a:xfrm>
              <a:prstGeom prst="line">
                <a:avLst/>
              </a:prstGeom>
              <a:ln w="28575">
                <a:solidFill>
                  <a:srgbClr val="0070C0"/>
                </a:solidFill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29" name="Straight Connector 28">
                <a:extLst>
                  <a:ext uri="{FF2B5EF4-FFF2-40B4-BE49-F238E27FC236}">
                    <a16:creationId xmlns:a16="http://schemas.microsoft.com/office/drawing/2014/main" id="{C3E11C84-20C3-1A57-8C86-BF831356A960}"/>
                  </a:ext>
                </a:extLst>
              </xdr:cNvPr>
              <xdr:cNvCxnSpPr/>
            </xdr:nvCxnSpPr>
            <xdr:spPr>
              <a:xfrm>
                <a:off x="1120140" y="4617720"/>
                <a:ext cx="0" cy="384048"/>
              </a:xfrm>
              <a:prstGeom prst="line">
                <a:avLst/>
              </a:prstGeom>
              <a:ln w="28575">
                <a:solidFill>
                  <a:srgbClr val="0070C0"/>
                </a:solidFill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30" name="Straight Connector 29">
                <a:extLst>
                  <a:ext uri="{FF2B5EF4-FFF2-40B4-BE49-F238E27FC236}">
                    <a16:creationId xmlns:a16="http://schemas.microsoft.com/office/drawing/2014/main" id="{229C5476-D5F5-01BB-9661-D48DDA23118A}"/>
                  </a:ext>
                </a:extLst>
              </xdr:cNvPr>
              <xdr:cNvCxnSpPr/>
            </xdr:nvCxnSpPr>
            <xdr:spPr>
              <a:xfrm>
                <a:off x="3185160" y="4632960"/>
                <a:ext cx="0" cy="384048"/>
              </a:xfrm>
              <a:prstGeom prst="line">
                <a:avLst/>
              </a:prstGeom>
              <a:ln w="28575">
                <a:solidFill>
                  <a:srgbClr val="0070C0"/>
                </a:solidFill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31" name="Straight Connector 30">
                <a:extLst>
                  <a:ext uri="{FF2B5EF4-FFF2-40B4-BE49-F238E27FC236}">
                    <a16:creationId xmlns:a16="http://schemas.microsoft.com/office/drawing/2014/main" id="{3D40B25B-235E-2DEC-693B-5EE4111C2D6C}"/>
                  </a:ext>
                </a:extLst>
              </xdr:cNvPr>
              <xdr:cNvCxnSpPr/>
            </xdr:nvCxnSpPr>
            <xdr:spPr>
              <a:xfrm>
                <a:off x="3055620" y="4632960"/>
                <a:ext cx="0" cy="384048"/>
              </a:xfrm>
              <a:prstGeom prst="line">
                <a:avLst/>
              </a:prstGeom>
              <a:ln w="28575">
                <a:solidFill>
                  <a:srgbClr val="0070C0"/>
                </a:solidFill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32" name="Straight Connector 31">
                <a:extLst>
                  <a:ext uri="{FF2B5EF4-FFF2-40B4-BE49-F238E27FC236}">
                    <a16:creationId xmlns:a16="http://schemas.microsoft.com/office/drawing/2014/main" id="{37EB3FF5-92D2-55CE-AB92-F5F076A96F6F}"/>
                  </a:ext>
                </a:extLst>
              </xdr:cNvPr>
              <xdr:cNvCxnSpPr/>
            </xdr:nvCxnSpPr>
            <xdr:spPr>
              <a:xfrm>
                <a:off x="1402080" y="4617720"/>
                <a:ext cx="0" cy="384048"/>
              </a:xfrm>
              <a:prstGeom prst="line">
                <a:avLst/>
              </a:prstGeom>
              <a:ln w="12700">
                <a:solidFill>
                  <a:srgbClr val="0070C0"/>
                </a:solidFill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33" name="Straight Connector 32">
                <a:extLst>
                  <a:ext uri="{FF2B5EF4-FFF2-40B4-BE49-F238E27FC236}">
                    <a16:creationId xmlns:a16="http://schemas.microsoft.com/office/drawing/2014/main" id="{155AE360-81F9-ACDE-778A-0DDDCB80D0BC}"/>
                  </a:ext>
                </a:extLst>
              </xdr:cNvPr>
              <xdr:cNvCxnSpPr/>
            </xdr:nvCxnSpPr>
            <xdr:spPr>
              <a:xfrm>
                <a:off x="1935480" y="4625340"/>
                <a:ext cx="0" cy="384048"/>
              </a:xfrm>
              <a:prstGeom prst="line">
                <a:avLst/>
              </a:prstGeom>
              <a:ln w="12700">
                <a:solidFill>
                  <a:srgbClr val="0070C0"/>
                </a:solidFill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34" name="Straight Connector 33">
                <a:extLst>
                  <a:ext uri="{FF2B5EF4-FFF2-40B4-BE49-F238E27FC236}">
                    <a16:creationId xmlns:a16="http://schemas.microsoft.com/office/drawing/2014/main" id="{59B1FAF2-BFA2-1AC2-8EAF-89874B338465}"/>
                  </a:ext>
                </a:extLst>
              </xdr:cNvPr>
              <xdr:cNvCxnSpPr/>
            </xdr:nvCxnSpPr>
            <xdr:spPr>
              <a:xfrm>
                <a:off x="1691640" y="4632960"/>
                <a:ext cx="0" cy="384048"/>
              </a:xfrm>
              <a:prstGeom prst="line">
                <a:avLst/>
              </a:prstGeom>
              <a:ln w="12700">
                <a:solidFill>
                  <a:srgbClr val="0070C0"/>
                </a:solidFill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35" name="Straight Connector 34">
                <a:extLst>
                  <a:ext uri="{FF2B5EF4-FFF2-40B4-BE49-F238E27FC236}">
                    <a16:creationId xmlns:a16="http://schemas.microsoft.com/office/drawing/2014/main" id="{1F1A0C77-EB51-F795-287D-AE3608D1A6DE}"/>
                  </a:ext>
                </a:extLst>
              </xdr:cNvPr>
              <xdr:cNvCxnSpPr/>
            </xdr:nvCxnSpPr>
            <xdr:spPr>
              <a:xfrm>
                <a:off x="2240280" y="4640580"/>
                <a:ext cx="0" cy="384048"/>
              </a:xfrm>
              <a:prstGeom prst="line">
                <a:avLst/>
              </a:prstGeom>
              <a:ln w="12700">
                <a:solidFill>
                  <a:srgbClr val="0070C0"/>
                </a:solidFill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36" name="Straight Connector 35">
                <a:extLst>
                  <a:ext uri="{FF2B5EF4-FFF2-40B4-BE49-F238E27FC236}">
                    <a16:creationId xmlns:a16="http://schemas.microsoft.com/office/drawing/2014/main" id="{19031F7B-233A-9E47-7564-956CD165D0F9}"/>
                  </a:ext>
                </a:extLst>
              </xdr:cNvPr>
              <xdr:cNvCxnSpPr/>
            </xdr:nvCxnSpPr>
            <xdr:spPr>
              <a:xfrm>
                <a:off x="2529840" y="4625340"/>
                <a:ext cx="0" cy="384048"/>
              </a:xfrm>
              <a:prstGeom prst="line">
                <a:avLst/>
              </a:prstGeom>
              <a:ln w="12700">
                <a:solidFill>
                  <a:srgbClr val="0070C0"/>
                </a:solidFill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37" name="Straight Connector 36">
                <a:extLst>
                  <a:ext uri="{FF2B5EF4-FFF2-40B4-BE49-F238E27FC236}">
                    <a16:creationId xmlns:a16="http://schemas.microsoft.com/office/drawing/2014/main" id="{E1147D45-0CA6-D2F8-E7E5-A2EA664A74BE}"/>
                  </a:ext>
                </a:extLst>
              </xdr:cNvPr>
              <xdr:cNvCxnSpPr/>
            </xdr:nvCxnSpPr>
            <xdr:spPr>
              <a:xfrm>
                <a:off x="2819400" y="4617720"/>
                <a:ext cx="0" cy="384048"/>
              </a:xfrm>
              <a:prstGeom prst="line">
                <a:avLst/>
              </a:prstGeom>
              <a:ln w="12700">
                <a:solidFill>
                  <a:srgbClr val="0070C0"/>
                </a:solidFill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1" name="Oval 10">
              <a:extLst>
                <a:ext uri="{FF2B5EF4-FFF2-40B4-BE49-F238E27FC236}">
                  <a16:creationId xmlns:a16="http://schemas.microsoft.com/office/drawing/2014/main" id="{EB27E717-687B-A066-A536-3505964020C3}"/>
                </a:ext>
              </a:extLst>
            </xdr:cNvPr>
            <xdr:cNvSpPr/>
          </xdr:nvSpPr>
          <xdr:spPr>
            <a:xfrm>
              <a:off x="3672840" y="4739841"/>
              <a:ext cx="91440" cy="83820"/>
            </a:xfrm>
            <a:prstGeom prst="ellipse">
              <a:avLst/>
            </a:prstGeom>
            <a:noFill/>
            <a:ln w="952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2" name="Oval 11">
              <a:extLst>
                <a:ext uri="{FF2B5EF4-FFF2-40B4-BE49-F238E27FC236}">
                  <a16:creationId xmlns:a16="http://schemas.microsoft.com/office/drawing/2014/main" id="{073392CC-240C-9614-F74F-FDFA4442BDA9}"/>
                </a:ext>
              </a:extLst>
            </xdr:cNvPr>
            <xdr:cNvSpPr/>
          </xdr:nvSpPr>
          <xdr:spPr>
            <a:xfrm>
              <a:off x="523489" y="4739842"/>
              <a:ext cx="91440" cy="83820"/>
            </a:xfrm>
            <a:prstGeom prst="ellipse">
              <a:avLst/>
            </a:prstGeom>
            <a:noFill/>
            <a:ln w="952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" name="Oval 12">
              <a:extLst>
                <a:ext uri="{FF2B5EF4-FFF2-40B4-BE49-F238E27FC236}">
                  <a16:creationId xmlns:a16="http://schemas.microsoft.com/office/drawing/2014/main" id="{4F844EAF-B353-8075-3C44-38345DCFB0A4}"/>
                </a:ext>
              </a:extLst>
            </xdr:cNvPr>
            <xdr:cNvSpPr/>
          </xdr:nvSpPr>
          <xdr:spPr>
            <a:xfrm>
              <a:off x="1889812" y="4747808"/>
              <a:ext cx="91440" cy="83820"/>
            </a:xfrm>
            <a:prstGeom prst="ellipse">
              <a:avLst/>
            </a:prstGeom>
            <a:noFill/>
            <a:ln w="952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A0E310FF-5B1C-34E4-6830-0B8F2589EDE8}"/>
              </a:ext>
            </a:extLst>
          </xdr:cNvPr>
          <xdr:cNvSpPr/>
        </xdr:nvSpPr>
        <xdr:spPr>
          <a:xfrm>
            <a:off x="-78522" y="5177748"/>
            <a:ext cx="862879" cy="20645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900" b="1">
                <a:solidFill>
                  <a:sysClr val="windowText" lastClr="000000"/>
                </a:solidFill>
                <a:latin typeface="Arial Narrow" panose="020B0606020202030204" pitchFamily="34" charset="0"/>
              </a:rPr>
              <a:t>SECTION-1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19CFDC42-948C-75F7-19CB-168CD5E99B1A}"/>
              </a:ext>
            </a:extLst>
          </xdr:cNvPr>
          <xdr:cNvSpPr/>
        </xdr:nvSpPr>
        <xdr:spPr>
          <a:xfrm>
            <a:off x="1736135" y="5240584"/>
            <a:ext cx="716280" cy="27432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900" b="1">
                <a:solidFill>
                  <a:sysClr val="windowText" lastClr="000000"/>
                </a:solidFill>
                <a:latin typeface="Arial Narrow" panose="020B0606020202030204" pitchFamily="34" charset="0"/>
              </a:rPr>
              <a:t>SECTION-2</a:t>
            </a:r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2FE5000-4490-23E6-FCDB-FB9797C8723A}"/>
              </a:ext>
            </a:extLst>
          </xdr:cNvPr>
          <xdr:cNvSpPr/>
        </xdr:nvSpPr>
        <xdr:spPr>
          <a:xfrm>
            <a:off x="2987039" y="4107180"/>
            <a:ext cx="771535" cy="27722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900" b="1">
                <a:solidFill>
                  <a:sysClr val="windowText" lastClr="000000"/>
                </a:solidFill>
                <a:latin typeface="Arial Narrow" panose="020B0606020202030204" pitchFamily="34" charset="0"/>
              </a:rPr>
              <a:t>SECTION-3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464820</xdr:colOff>
          <xdr:row>30</xdr:row>
          <xdr:rowOff>38100</xdr:rowOff>
        </xdr:from>
        <xdr:to>
          <xdr:col>11</xdr:col>
          <xdr:colOff>236220</xdr:colOff>
          <xdr:row>32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0.25817</cdr:x>
      <cdr:y>0.15972</cdr:y>
    </cdr:from>
    <cdr:to>
      <cdr:x>0.6891</cdr:x>
      <cdr:y>0.26091</cdr:y>
    </cdr:to>
    <cdr:sp macro="" textlink="'beam design'!$L$9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68596BD8-DE98-12E1-7B10-5D66B48DAD56}"/>
            </a:ext>
          </a:extLst>
        </cdr:cNvPr>
        <cdr:cNvSpPr/>
      </cdr:nvSpPr>
      <cdr:spPr>
        <a:xfrm xmlns:a="http://schemas.openxmlformats.org/drawingml/2006/main">
          <a:off x="317961" y="334698"/>
          <a:ext cx="530717" cy="2120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fld id="{7DB73855-DEF6-4FBC-82A5-F12709713DFF}" type="TxLink">
            <a:rPr lang="en-US" sz="800" b="0" i="0" u="none" strike="noStrike">
              <a:solidFill>
                <a:srgbClr val="0070C0"/>
              </a:solidFill>
              <a:latin typeface="Arial"/>
              <a:cs typeface="Arial"/>
            </a:rPr>
            <a:pPr/>
            <a:t>1000</a:t>
          </a:fld>
          <a:endParaRPr lang="en-US"/>
        </a:p>
      </cdr:txBody>
    </cdr:sp>
  </cdr:relSizeAnchor>
  <cdr:relSizeAnchor xmlns:cdr="http://schemas.openxmlformats.org/drawingml/2006/chartDrawing">
    <cdr:from>
      <cdr:x>0.77585</cdr:x>
      <cdr:y>0.46875</cdr:y>
    </cdr:from>
    <cdr:to>
      <cdr:x>0.97865</cdr:x>
      <cdr:y>0.68403</cdr:y>
    </cdr:to>
    <cdr:sp macro="" textlink="'beam design'!$L$8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DF698343-2E16-2FD2-3D48-224150AB8874}"/>
            </a:ext>
          </a:extLst>
        </cdr:cNvPr>
        <cdr:cNvSpPr/>
      </cdr:nvSpPr>
      <cdr:spPr>
        <a:xfrm xmlns:a="http://schemas.openxmlformats.org/drawingml/2006/main" rot="16200000">
          <a:off x="1016318" y="1120140"/>
          <a:ext cx="472440" cy="289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fld id="{8D92DC98-62E8-4774-ABF4-4E0708623DFA}" type="TxLink">
            <a:rPr lang="en-US" sz="800" b="0" i="0" u="none" strike="noStrike">
              <a:solidFill>
                <a:srgbClr val="0070C0"/>
              </a:solidFill>
              <a:latin typeface="Arial"/>
              <a:cs typeface="Arial"/>
            </a:rPr>
            <a:pPr/>
            <a:t>1500</a:t>
          </a:fld>
          <a:endParaRPr lang="en-US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0.25817</cdr:x>
      <cdr:y>0.15972</cdr:y>
    </cdr:from>
    <cdr:to>
      <cdr:x>0.69558</cdr:x>
      <cdr:y>0.23614</cdr:y>
    </cdr:to>
    <cdr:sp macro="" textlink="'beam design'!$L$9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68596BD8-DE98-12E1-7B10-5D66B48DAD56}"/>
            </a:ext>
          </a:extLst>
        </cdr:cNvPr>
        <cdr:cNvSpPr/>
      </cdr:nvSpPr>
      <cdr:spPr>
        <a:xfrm xmlns:a="http://schemas.openxmlformats.org/drawingml/2006/main">
          <a:off x="300498" y="340170"/>
          <a:ext cx="509127" cy="16275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fld id="{7DB73855-DEF6-4FBC-82A5-F12709713DFF}" type="TxLink">
            <a:rPr lang="en-US" sz="800" b="0" i="0" u="none" strike="noStrike">
              <a:solidFill>
                <a:srgbClr val="0070C0"/>
              </a:solidFill>
              <a:latin typeface="Arial"/>
              <a:cs typeface="Arial"/>
            </a:rPr>
            <a:pPr/>
            <a:t>1000</a:t>
          </a:fld>
          <a:endParaRPr lang="en-US"/>
        </a:p>
      </cdr:txBody>
    </cdr:sp>
  </cdr:relSizeAnchor>
  <cdr:relSizeAnchor xmlns:cdr="http://schemas.openxmlformats.org/drawingml/2006/chartDrawing">
    <cdr:from>
      <cdr:x>0.77585</cdr:x>
      <cdr:y>0.46875</cdr:y>
    </cdr:from>
    <cdr:to>
      <cdr:x>0.97865</cdr:x>
      <cdr:y>0.68403</cdr:y>
    </cdr:to>
    <cdr:sp macro="" textlink="'beam design'!$L$8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DF698343-2E16-2FD2-3D48-224150AB8874}"/>
            </a:ext>
          </a:extLst>
        </cdr:cNvPr>
        <cdr:cNvSpPr/>
      </cdr:nvSpPr>
      <cdr:spPr>
        <a:xfrm xmlns:a="http://schemas.openxmlformats.org/drawingml/2006/main" rot="16200000">
          <a:off x="1016318" y="1120140"/>
          <a:ext cx="472440" cy="289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fld id="{8D92DC98-62E8-4774-ABF4-4E0708623DFA}" type="TxLink">
            <a:rPr lang="en-US" sz="800" b="0" i="0" u="none" strike="noStrike">
              <a:solidFill>
                <a:srgbClr val="0070C0"/>
              </a:solidFill>
              <a:latin typeface="Arial"/>
              <a:cs typeface="Arial"/>
            </a:rPr>
            <a:pPr/>
            <a:t>1500</a:t>
          </a:fld>
          <a:endParaRPr lang="en-US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0.25817</cdr:x>
      <cdr:y>0.15972</cdr:y>
    </cdr:from>
    <cdr:to>
      <cdr:x>0.62255</cdr:x>
      <cdr:y>0.26348</cdr:y>
    </cdr:to>
    <cdr:sp macro="" textlink="'beam design'!$L$9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68596BD8-DE98-12E1-7B10-5D66B48DAD56}"/>
            </a:ext>
          </a:extLst>
        </cdr:cNvPr>
        <cdr:cNvSpPr/>
      </cdr:nvSpPr>
      <cdr:spPr>
        <a:xfrm xmlns:a="http://schemas.openxmlformats.org/drawingml/2006/main">
          <a:off x="300990" y="293313"/>
          <a:ext cx="424814" cy="19055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fld id="{7DB73855-DEF6-4FBC-82A5-F12709713DFF}" type="TxLink">
            <a:rPr lang="en-US" sz="800" b="0" i="0" u="none" strike="noStrike">
              <a:solidFill>
                <a:srgbClr val="0070C0"/>
              </a:solidFill>
              <a:latin typeface="Arial"/>
              <a:cs typeface="Arial"/>
            </a:rPr>
            <a:pPr/>
            <a:t>1000</a:t>
          </a:fld>
          <a:endParaRPr lang="en-US"/>
        </a:p>
      </cdr:txBody>
    </cdr:sp>
  </cdr:relSizeAnchor>
  <cdr:relSizeAnchor xmlns:cdr="http://schemas.openxmlformats.org/drawingml/2006/chartDrawing">
    <cdr:from>
      <cdr:x>0.77585</cdr:x>
      <cdr:y>0.40833</cdr:y>
    </cdr:from>
    <cdr:to>
      <cdr:x>0.93311</cdr:x>
      <cdr:y>0.68403</cdr:y>
    </cdr:to>
    <cdr:sp macro="" textlink="'beam design'!$L$8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DF698343-2E16-2FD2-3D48-224150AB8874}"/>
            </a:ext>
          </a:extLst>
        </cdr:cNvPr>
        <cdr:cNvSpPr/>
      </cdr:nvSpPr>
      <cdr:spPr>
        <a:xfrm xmlns:a="http://schemas.openxmlformats.org/drawingml/2006/main" rot="16200000">
          <a:off x="745736" y="907033"/>
          <a:ext cx="504195" cy="18364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fld id="{8D92DC98-62E8-4774-ABF4-4E0708623DFA}" type="TxLink">
            <a:rPr lang="en-US" sz="800" b="0" i="0" u="none" strike="noStrike">
              <a:solidFill>
                <a:srgbClr val="0070C0"/>
              </a:solidFill>
              <a:latin typeface="Arial"/>
              <a:cs typeface="Arial"/>
            </a:rPr>
            <a:pPr/>
            <a:t>1500</a:t>
          </a:fld>
          <a:endParaRPr lang="en-US"/>
        </a:p>
      </cdr:txBody>
    </cdr:sp>
  </cdr:relSizeAnchor>
</c:userShap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K109"/>
  <sheetViews>
    <sheetView tabSelected="1" zoomScaleNormal="100" zoomScaleSheetLayoutView="100" workbookViewId="0">
      <selection activeCell="T25" sqref="T25"/>
    </sheetView>
  </sheetViews>
  <sheetFormatPr defaultColWidth="9.109375" defaultRowHeight="10.199999999999999" x14ac:dyDescent="0.2"/>
  <cols>
    <col min="1" max="1" width="3.21875" style="1" customWidth="1"/>
    <col min="2" max="3" width="6.77734375" style="1" customWidth="1"/>
    <col min="4" max="4" width="8.6640625" style="1" customWidth="1"/>
    <col min="5" max="5" width="6.44140625" style="1" customWidth="1"/>
    <col min="6" max="6" width="6.21875" style="6" customWidth="1"/>
    <col min="7" max="7" width="6.77734375" style="6" customWidth="1"/>
    <col min="8" max="10" width="7.77734375" style="1" customWidth="1"/>
    <col min="11" max="11" width="5.5546875" style="1" customWidth="1"/>
    <col min="12" max="12" width="7.77734375" style="1" customWidth="1"/>
    <col min="13" max="13" width="5" style="1" customWidth="1"/>
    <col min="14" max="15" width="7.77734375" style="1" customWidth="1"/>
    <col min="16" max="16" width="8" style="1" customWidth="1"/>
    <col min="17" max="17" width="7.6640625" style="1" customWidth="1"/>
    <col min="18" max="18" width="6.6640625" style="1" customWidth="1"/>
    <col min="19" max="19" width="10.5546875" style="1" customWidth="1"/>
    <col min="20" max="20" width="7.6640625" style="1" customWidth="1"/>
    <col min="21" max="21" width="10.6640625" style="1" bestFit="1" customWidth="1"/>
    <col min="22" max="16384" width="9.109375" style="1"/>
  </cols>
  <sheetData>
    <row r="1" spans="1:37" ht="13.2" x14ac:dyDescent="0.25">
      <c r="A1" s="72" t="s">
        <v>80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44"/>
      <c r="O1" s="44"/>
      <c r="P1" s="44"/>
      <c r="Q1" s="44"/>
      <c r="R1" s="44"/>
    </row>
    <row r="2" spans="1:37" ht="13.2" x14ac:dyDescent="0.25">
      <c r="B2" s="21" t="s">
        <v>49</v>
      </c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37" x14ac:dyDescent="0.2">
      <c r="B3" s="22" t="s">
        <v>54</v>
      </c>
    </row>
    <row r="4" spans="1:37" x14ac:dyDescent="0.2">
      <c r="B4" s="22" t="s">
        <v>55</v>
      </c>
      <c r="J4" s="47" t="s">
        <v>53</v>
      </c>
      <c r="K4" s="49">
        <f ca="1">TODAY()</f>
        <v>45706</v>
      </c>
      <c r="L4" s="49"/>
      <c r="N4" s="43"/>
      <c r="O4" s="43"/>
    </row>
    <row r="5" spans="1:37" ht="10.8" thickBot="1" x14ac:dyDescent="0.25">
      <c r="B5" s="23" t="s">
        <v>50</v>
      </c>
      <c r="C5" s="24"/>
      <c r="D5" s="24"/>
      <c r="F5" s="23" t="s">
        <v>51</v>
      </c>
      <c r="G5" s="23"/>
      <c r="H5" s="24"/>
      <c r="J5" s="23" t="s">
        <v>52</v>
      </c>
      <c r="M5" s="24"/>
    </row>
    <row r="6" spans="1:37" ht="10.8" thickTop="1" x14ac:dyDescent="0.2">
      <c r="A6" s="76"/>
      <c r="B6" s="77"/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</row>
    <row r="7" spans="1:37" ht="14.4" customHeight="1" x14ac:dyDescent="0.2">
      <c r="B7" s="59" t="s">
        <v>9</v>
      </c>
      <c r="C7" s="51"/>
      <c r="D7" s="51"/>
      <c r="E7" s="51"/>
      <c r="F7" s="51"/>
      <c r="G7" s="52"/>
      <c r="H7" s="59" t="s">
        <v>10</v>
      </c>
      <c r="I7" s="51"/>
      <c r="J7" s="51"/>
      <c r="K7" s="51"/>
      <c r="L7" s="51"/>
      <c r="M7" s="52"/>
      <c r="N7" s="75"/>
      <c r="O7" s="75"/>
    </row>
    <row r="8" spans="1:37" ht="12.6" x14ac:dyDescent="0.3">
      <c r="B8" s="59" t="s">
        <v>0</v>
      </c>
      <c r="C8" s="51"/>
      <c r="D8" s="52"/>
      <c r="E8" s="7" t="s">
        <v>45</v>
      </c>
      <c r="F8" s="30">
        <v>35</v>
      </c>
      <c r="G8" s="3"/>
      <c r="H8" s="59" t="s">
        <v>11</v>
      </c>
      <c r="I8" s="51"/>
      <c r="J8" s="52"/>
      <c r="K8" s="7" t="s">
        <v>1</v>
      </c>
      <c r="L8" s="19">
        <v>1500</v>
      </c>
      <c r="M8" s="3" t="s">
        <v>2</v>
      </c>
    </row>
    <row r="9" spans="1:37" ht="11.4" x14ac:dyDescent="0.2">
      <c r="A9" s="64"/>
      <c r="B9" s="60" t="s">
        <v>56</v>
      </c>
      <c r="C9" s="61"/>
      <c r="D9" s="29" t="s">
        <v>57</v>
      </c>
      <c r="E9" s="7" t="s">
        <v>5</v>
      </c>
      <c r="F9" s="17">
        <v>500</v>
      </c>
      <c r="G9" s="3" t="s">
        <v>46</v>
      </c>
      <c r="H9" s="59" t="s">
        <v>12</v>
      </c>
      <c r="I9" s="51"/>
      <c r="J9" s="52"/>
      <c r="K9" s="7" t="s">
        <v>13</v>
      </c>
      <c r="L9" s="19">
        <v>1000</v>
      </c>
      <c r="M9" s="3" t="s">
        <v>2</v>
      </c>
    </row>
    <row r="10" spans="1:37" ht="12.6" x14ac:dyDescent="0.3">
      <c r="A10" s="64"/>
      <c r="B10" s="62"/>
      <c r="C10" s="63"/>
      <c r="D10" s="29" t="s">
        <v>58</v>
      </c>
      <c r="E10" s="7" t="s">
        <v>47</v>
      </c>
      <c r="F10" s="17">
        <v>250</v>
      </c>
      <c r="G10" s="3" t="s">
        <v>46</v>
      </c>
      <c r="H10" s="59" t="s">
        <v>16</v>
      </c>
      <c r="I10" s="51"/>
      <c r="J10" s="52"/>
      <c r="K10" s="7" t="s">
        <v>17</v>
      </c>
      <c r="L10" s="20">
        <v>5.9</v>
      </c>
      <c r="M10" s="3" t="s">
        <v>18</v>
      </c>
      <c r="O10" s="15"/>
      <c r="P10" s="26"/>
      <c r="Q10" s="26"/>
    </row>
    <row r="11" spans="1:37" x14ac:dyDescent="0.2">
      <c r="B11" s="59" t="s">
        <v>31</v>
      </c>
      <c r="C11" s="51"/>
      <c r="D11" s="52"/>
      <c r="E11" s="73" t="s">
        <v>32</v>
      </c>
      <c r="F11" s="74"/>
      <c r="G11" s="3"/>
      <c r="H11" s="59" t="s">
        <v>14</v>
      </c>
      <c r="I11" s="51"/>
      <c r="J11" s="52"/>
      <c r="K11" s="65" t="s">
        <v>15</v>
      </c>
      <c r="L11" s="66"/>
      <c r="M11" s="3"/>
    </row>
    <row r="12" spans="1:37" x14ac:dyDescent="0.2">
      <c r="B12" s="59" t="s">
        <v>6</v>
      </c>
      <c r="C12" s="51"/>
      <c r="D12" s="52"/>
      <c r="E12" s="7" t="s">
        <v>39</v>
      </c>
      <c r="F12" s="17">
        <v>30</v>
      </c>
      <c r="G12" s="3" t="s">
        <v>2</v>
      </c>
      <c r="H12" s="25" t="s">
        <v>62</v>
      </c>
      <c r="I12" s="25"/>
      <c r="J12" s="3"/>
      <c r="K12" s="3"/>
      <c r="L12" s="3"/>
      <c r="M12" s="3"/>
      <c r="O12" s="15"/>
      <c r="T12" s="8"/>
    </row>
    <row r="13" spans="1:37" ht="12.6" x14ac:dyDescent="0.3">
      <c r="B13" s="59" t="s">
        <v>4</v>
      </c>
      <c r="C13" s="51"/>
      <c r="D13" s="52"/>
      <c r="E13" s="7" t="s">
        <v>48</v>
      </c>
      <c r="F13" s="17">
        <v>200000</v>
      </c>
      <c r="G13" s="3" t="s">
        <v>46</v>
      </c>
      <c r="H13" s="29" t="s">
        <v>63</v>
      </c>
      <c r="I13" s="3"/>
      <c r="J13" s="3"/>
      <c r="K13" s="7" t="s">
        <v>19</v>
      </c>
      <c r="L13" s="27">
        <f>de(K11,L8,F12,L10,E26)</f>
        <v>1457.5</v>
      </c>
      <c r="M13" s="3" t="s">
        <v>2</v>
      </c>
    </row>
    <row r="14" spans="1:37" x14ac:dyDescent="0.2">
      <c r="B14" s="70" t="s">
        <v>61</v>
      </c>
      <c r="C14" s="70"/>
      <c r="D14" s="70"/>
      <c r="E14" s="70"/>
      <c r="F14" s="70"/>
      <c r="G14" s="70"/>
      <c r="AA14" s="37" t="s">
        <v>70</v>
      </c>
      <c r="AB14" s="37"/>
      <c r="AC14" s="37"/>
      <c r="AD14" s="37"/>
      <c r="AE14" s="37" t="s">
        <v>71</v>
      </c>
      <c r="AF14" s="37"/>
      <c r="AG14" s="37"/>
      <c r="AH14" s="37"/>
      <c r="AI14" s="37" t="s">
        <v>72</v>
      </c>
      <c r="AJ14" s="37"/>
      <c r="AK14" s="37"/>
    </row>
    <row r="15" spans="1:37" x14ac:dyDescent="0.2">
      <c r="B15" s="59"/>
      <c r="C15" s="51"/>
      <c r="D15" s="52"/>
      <c r="E15" s="28" t="s">
        <v>59</v>
      </c>
      <c r="F15" s="28" t="s">
        <v>40</v>
      </c>
      <c r="G15" s="31" t="s">
        <v>60</v>
      </c>
      <c r="AA15" s="37" t="s">
        <v>73</v>
      </c>
      <c r="AB15" s="37"/>
      <c r="AC15" s="37"/>
      <c r="AD15" s="37"/>
      <c r="AE15" s="37" t="s">
        <v>73</v>
      </c>
      <c r="AF15" s="37"/>
      <c r="AG15" s="37"/>
      <c r="AH15" s="37"/>
      <c r="AI15" s="37" t="s">
        <v>74</v>
      </c>
      <c r="AJ15" s="37"/>
      <c r="AK15" s="37"/>
    </row>
    <row r="16" spans="1:37" x14ac:dyDescent="0.2">
      <c r="B16" s="59" t="s">
        <v>7</v>
      </c>
      <c r="C16" s="51"/>
      <c r="D16" s="52"/>
      <c r="E16" s="17">
        <v>400</v>
      </c>
      <c r="F16" s="19">
        <v>2000</v>
      </c>
      <c r="G16" s="18">
        <v>300</v>
      </c>
      <c r="AA16" s="38" t="s">
        <v>41</v>
      </c>
      <c r="AB16" s="38" t="s">
        <v>43</v>
      </c>
      <c r="AC16" s="37"/>
      <c r="AD16" s="37"/>
      <c r="AE16" s="38" t="s">
        <v>41</v>
      </c>
      <c r="AF16" s="38" t="s">
        <v>43</v>
      </c>
      <c r="AG16" s="37"/>
      <c r="AH16" s="37"/>
      <c r="AI16" s="38" t="s">
        <v>41</v>
      </c>
      <c r="AJ16" s="38" t="s">
        <v>43</v>
      </c>
      <c r="AK16" s="37"/>
    </row>
    <row r="17" spans="1:37" x14ac:dyDescent="0.2">
      <c r="B17" s="59" t="s">
        <v>8</v>
      </c>
      <c r="C17" s="51"/>
      <c r="D17" s="52"/>
      <c r="E17" s="3">
        <v>1000</v>
      </c>
      <c r="F17" s="3">
        <v>15</v>
      </c>
      <c r="G17" s="3">
        <v>900</v>
      </c>
      <c r="AA17" s="39">
        <v>0</v>
      </c>
      <c r="AB17" s="39">
        <v>0</v>
      </c>
      <c r="AC17" s="37"/>
      <c r="AD17" s="37"/>
      <c r="AE17" s="39">
        <f>AA17</f>
        <v>0</v>
      </c>
      <c r="AF17" s="39">
        <f>AB17</f>
        <v>0</v>
      </c>
      <c r="AG17" s="37"/>
      <c r="AH17" s="37"/>
      <c r="AI17" s="39">
        <f>AE17</f>
        <v>0</v>
      </c>
      <c r="AJ17" s="39">
        <f>AF17</f>
        <v>0</v>
      </c>
      <c r="AK17" s="37"/>
    </row>
    <row r="18" spans="1:37" x14ac:dyDescent="0.2">
      <c r="A18" s="13" t="s">
        <v>20</v>
      </c>
      <c r="B18" s="78" t="s">
        <v>21</v>
      </c>
      <c r="C18" s="79"/>
      <c r="D18" s="80"/>
      <c r="E18" s="3"/>
      <c r="F18" s="3"/>
      <c r="G18" s="3"/>
      <c r="AA18" s="40">
        <f>AA17+L9</f>
        <v>1000</v>
      </c>
      <c r="AB18" s="39">
        <f>AB17</f>
        <v>0</v>
      </c>
      <c r="AC18" s="37"/>
      <c r="AD18" s="37"/>
      <c r="AE18" s="39">
        <f t="shared" ref="AE18:AF21" si="0">AA18</f>
        <v>1000</v>
      </c>
      <c r="AF18" s="39">
        <f t="shared" si="0"/>
        <v>0</v>
      </c>
      <c r="AG18" s="37"/>
      <c r="AH18" s="37"/>
      <c r="AI18" s="39">
        <f t="shared" ref="AI18:AJ21" si="1">AE18</f>
        <v>1000</v>
      </c>
      <c r="AJ18" s="39">
        <f t="shared" si="1"/>
        <v>0</v>
      </c>
      <c r="AK18" s="37"/>
    </row>
    <row r="19" spans="1:37" x14ac:dyDescent="0.2">
      <c r="B19" s="59" t="s">
        <v>24</v>
      </c>
      <c r="C19" s="51"/>
      <c r="D19" s="52"/>
      <c r="E19" s="27">
        <f>MR(F8,F9,L9,L13,F12,F13)</f>
        <v>9868.2634197179814</v>
      </c>
      <c r="F19" s="5">
        <f>MR(F8,F9,L9,L13,F12,F13)</f>
        <v>9868.2634197179814</v>
      </c>
      <c r="G19" s="5">
        <f>MR(F8,F9,L9,L13,F12,F13)</f>
        <v>9868.2634197179814</v>
      </c>
      <c r="AA19" s="39">
        <f>AA18</f>
        <v>1000</v>
      </c>
      <c r="AB19" s="40">
        <f>AB18+L8</f>
        <v>1500</v>
      </c>
      <c r="AC19" s="37"/>
      <c r="AD19" s="37"/>
      <c r="AE19" s="39">
        <f t="shared" si="0"/>
        <v>1000</v>
      </c>
      <c r="AF19" s="39">
        <f t="shared" si="0"/>
        <v>1500</v>
      </c>
      <c r="AG19" s="37"/>
      <c r="AH19" s="37"/>
      <c r="AI19" s="39">
        <f t="shared" si="1"/>
        <v>1000</v>
      </c>
      <c r="AJ19" s="39">
        <f t="shared" si="1"/>
        <v>1500</v>
      </c>
      <c r="AK19" s="37"/>
    </row>
    <row r="20" spans="1:37" x14ac:dyDescent="0.2">
      <c r="B20" s="59" t="s">
        <v>28</v>
      </c>
      <c r="C20" s="51"/>
      <c r="D20" s="52"/>
      <c r="E20" s="3"/>
      <c r="F20" s="3"/>
      <c r="G20" s="3"/>
      <c r="AA20" s="39">
        <f>AA17</f>
        <v>0</v>
      </c>
      <c r="AB20" s="39">
        <f>AB19</f>
        <v>1500</v>
      </c>
      <c r="AC20" s="37"/>
      <c r="AD20" s="37"/>
      <c r="AE20" s="39">
        <f t="shared" si="0"/>
        <v>0</v>
      </c>
      <c r="AF20" s="39">
        <f t="shared" si="0"/>
        <v>1500</v>
      </c>
      <c r="AG20" s="37"/>
      <c r="AH20" s="37"/>
      <c r="AI20" s="39">
        <f t="shared" si="1"/>
        <v>0</v>
      </c>
      <c r="AJ20" s="39">
        <f t="shared" si="1"/>
        <v>1500</v>
      </c>
      <c r="AK20" s="37"/>
    </row>
    <row r="21" spans="1:37" x14ac:dyDescent="0.2">
      <c r="B21" s="59" t="s">
        <v>3</v>
      </c>
      <c r="C21" s="51"/>
      <c r="D21" s="52"/>
      <c r="E21" s="34" t="str">
        <f>IF(E19&lt;E16,"Doubly","Singly")</f>
        <v>Singly</v>
      </c>
      <c r="F21" s="1" t="str">
        <f>IF(F19&lt;F16,"Doubly","Singly")</f>
        <v>Singly</v>
      </c>
      <c r="G21" s="35" t="str">
        <f>IF(G19&lt;G16,"Doubly","Singly")</f>
        <v>Singly</v>
      </c>
      <c r="AA21" s="39">
        <f>AA17</f>
        <v>0</v>
      </c>
      <c r="AB21" s="39">
        <f>AB17</f>
        <v>0</v>
      </c>
      <c r="AC21" s="37"/>
      <c r="AD21" s="37"/>
      <c r="AE21" s="39">
        <f t="shared" si="0"/>
        <v>0</v>
      </c>
      <c r="AF21" s="39">
        <f t="shared" si="0"/>
        <v>0</v>
      </c>
      <c r="AG21" s="37"/>
      <c r="AH21" s="37"/>
      <c r="AI21" s="39">
        <f t="shared" si="1"/>
        <v>0</v>
      </c>
      <c r="AJ21" s="39">
        <f t="shared" si="1"/>
        <v>0</v>
      </c>
      <c r="AK21" s="37"/>
    </row>
    <row r="22" spans="1:37" x14ac:dyDescent="0.2">
      <c r="B22" s="50" t="s">
        <v>64</v>
      </c>
      <c r="C22" s="51"/>
      <c r="D22" s="52"/>
      <c r="E22" s="27">
        <f>Ast(E16,F8,F9,E23,L9,L13,F12,F13)</f>
        <v>2477.75</v>
      </c>
      <c r="F22" s="27">
        <f>Ast(F16,F8,F9,E23,L9,L13,F12,F13)</f>
        <v>3258.8074071753044</v>
      </c>
      <c r="G22" s="27">
        <f>Ast(E16,F8,F9,E23,L9,L13,F12,F13)</f>
        <v>2477.75</v>
      </c>
      <c r="AA22" s="37" t="s">
        <v>75</v>
      </c>
      <c r="AB22" s="37"/>
      <c r="AC22" s="37"/>
      <c r="AD22" s="37"/>
      <c r="AE22" s="37" t="s">
        <v>75</v>
      </c>
      <c r="AF22" s="37"/>
      <c r="AG22" s="37"/>
      <c r="AH22" s="37"/>
      <c r="AI22" s="37" t="s">
        <v>75</v>
      </c>
      <c r="AJ22" s="37"/>
      <c r="AK22" s="37"/>
    </row>
    <row r="23" spans="1:37" x14ac:dyDescent="0.2">
      <c r="B23" s="50" t="s">
        <v>65</v>
      </c>
      <c r="C23" s="51"/>
      <c r="D23" s="52"/>
      <c r="E23" s="10">
        <f>Acs(E16,F8,F9,L9,L13,F12,F13)</f>
        <v>0</v>
      </c>
      <c r="F23" s="10">
        <f>Acs(F16,F8,F9,L9,L13,F12,F13)</f>
        <v>0</v>
      </c>
      <c r="G23" s="10">
        <f>Acs(G16,F8,F9,L9,L13,F12,F13)</f>
        <v>0</v>
      </c>
      <c r="AA23" s="39">
        <f>AA17</f>
        <v>0</v>
      </c>
      <c r="AB23" s="40">
        <f>AB19+100</f>
        <v>1600</v>
      </c>
      <c r="AC23" s="37"/>
      <c r="AD23" s="37"/>
      <c r="AE23" s="39">
        <f>AA23</f>
        <v>0</v>
      </c>
      <c r="AF23" s="39">
        <f>AB23</f>
        <v>1600</v>
      </c>
      <c r="AG23" s="37"/>
      <c r="AH23" s="37"/>
      <c r="AI23" s="39">
        <f>AE23</f>
        <v>0</v>
      </c>
      <c r="AJ23" s="39">
        <f>AF23</f>
        <v>1600</v>
      </c>
      <c r="AK23" s="37"/>
    </row>
    <row r="24" spans="1:37" ht="22.8" customHeight="1" x14ac:dyDescent="0.2">
      <c r="B24" s="67" t="s">
        <v>25</v>
      </c>
      <c r="C24" s="68"/>
      <c r="D24" s="69"/>
      <c r="E24" s="36">
        <f>IF(E23&lt;50%*E22,50%*E22,E23)</f>
        <v>1238.875</v>
      </c>
      <c r="F24" s="36">
        <f t="shared" ref="F24:G24" si="2">IF(F23&lt;50%*F22,50%*F22,F23)</f>
        <v>1629.4037035876522</v>
      </c>
      <c r="G24" s="36">
        <f t="shared" si="2"/>
        <v>1238.875</v>
      </c>
      <c r="AA24" s="39">
        <f>AA18</f>
        <v>1000</v>
      </c>
      <c r="AB24" s="39">
        <f>AB23</f>
        <v>1600</v>
      </c>
      <c r="AC24" s="37"/>
      <c r="AD24" s="37"/>
      <c r="AE24" s="39">
        <f t="shared" ref="AE24:AF26" si="3">AA24</f>
        <v>1000</v>
      </c>
      <c r="AF24" s="39">
        <f t="shared" si="3"/>
        <v>1600</v>
      </c>
      <c r="AG24" s="37"/>
      <c r="AH24" s="37"/>
      <c r="AI24" s="39">
        <f t="shared" ref="AI24:AJ26" si="4">AE24</f>
        <v>1000</v>
      </c>
      <c r="AJ24" s="39">
        <f t="shared" si="4"/>
        <v>1600</v>
      </c>
      <c r="AK24" s="37"/>
    </row>
    <row r="25" spans="1:37" x14ac:dyDescent="0.2">
      <c r="B25" s="48" t="s">
        <v>26</v>
      </c>
      <c r="C25" s="3"/>
      <c r="D25" s="3"/>
      <c r="E25" s="2"/>
      <c r="F25" s="2"/>
      <c r="G25" s="2"/>
      <c r="AA25" s="40">
        <f>AA18+100</f>
        <v>1100</v>
      </c>
      <c r="AB25" s="39">
        <f>AB17</f>
        <v>0</v>
      </c>
      <c r="AC25" s="37"/>
      <c r="AD25" s="37"/>
      <c r="AE25" s="39">
        <f t="shared" si="3"/>
        <v>1100</v>
      </c>
      <c r="AF25" s="39">
        <f t="shared" si="3"/>
        <v>0</v>
      </c>
      <c r="AG25" s="37"/>
      <c r="AH25" s="37"/>
      <c r="AI25" s="39">
        <f t="shared" si="4"/>
        <v>1100</v>
      </c>
      <c r="AJ25" s="39">
        <f t="shared" si="4"/>
        <v>0</v>
      </c>
      <c r="AK25" s="37"/>
    </row>
    <row r="26" spans="1:37" x14ac:dyDescent="0.2">
      <c r="A26" s="64"/>
      <c r="B26" s="53" t="s">
        <v>64</v>
      </c>
      <c r="C26" s="54"/>
      <c r="D26" s="29" t="s">
        <v>23</v>
      </c>
      <c r="E26" s="11">
        <v>25</v>
      </c>
      <c r="F26" s="11">
        <v>25</v>
      </c>
      <c r="G26" s="11">
        <v>25</v>
      </c>
      <c r="AA26" s="39">
        <f>AA25</f>
        <v>1100</v>
      </c>
      <c r="AB26" s="39">
        <f>AB19</f>
        <v>1500</v>
      </c>
      <c r="AC26" s="37"/>
      <c r="AD26" s="37"/>
      <c r="AE26" s="39">
        <f t="shared" si="3"/>
        <v>1100</v>
      </c>
      <c r="AF26" s="39">
        <f t="shared" si="3"/>
        <v>1500</v>
      </c>
      <c r="AG26" s="37"/>
      <c r="AH26" s="37"/>
      <c r="AI26" s="39">
        <f t="shared" si="4"/>
        <v>1100</v>
      </c>
      <c r="AJ26" s="39">
        <f t="shared" si="4"/>
        <v>1500</v>
      </c>
      <c r="AK26" s="37"/>
    </row>
    <row r="27" spans="1:37" x14ac:dyDescent="0.2">
      <c r="A27" s="64"/>
      <c r="B27" s="55"/>
      <c r="C27" s="56"/>
      <c r="D27" s="29" t="s">
        <v>22</v>
      </c>
      <c r="E27" s="3">
        <f>IF(ROUNDUP(E22/(PI()*E26^2/4),5)&lt;=2,2,ROUNDUP(E22/(PI()*E26^2/4),0))</f>
        <v>6</v>
      </c>
      <c r="F27" s="3">
        <f t="shared" ref="F27:G27" si="5">IF(ROUNDUP(F22/(PI()*F26^2/4),5)&lt;=2,2,ROUNDUP(F22/(PI()*F26^2/4),0))</f>
        <v>7</v>
      </c>
      <c r="G27" s="3">
        <f t="shared" si="5"/>
        <v>6</v>
      </c>
      <c r="AA27" s="37" t="s">
        <v>64</v>
      </c>
      <c r="AB27" s="37"/>
      <c r="AC27" s="37"/>
      <c r="AD27" s="37"/>
      <c r="AE27" s="37" t="s">
        <v>64</v>
      </c>
      <c r="AF27" s="37"/>
      <c r="AG27" s="37"/>
      <c r="AH27" s="37"/>
      <c r="AI27" s="37" t="s">
        <v>64</v>
      </c>
      <c r="AJ27" s="37"/>
      <c r="AK27" s="37"/>
    </row>
    <row r="28" spans="1:37" x14ac:dyDescent="0.2">
      <c r="A28" s="64"/>
      <c r="B28" s="55"/>
      <c r="C28" s="56"/>
      <c r="D28" s="29" t="s">
        <v>66</v>
      </c>
      <c r="E28" s="5">
        <f>PI()*E26^2/4*E27</f>
        <v>2945.2431127404311</v>
      </c>
      <c r="F28" s="5">
        <f t="shared" ref="F28:G28" si="6">PI()*F26^2/4*F27</f>
        <v>3436.1169648638361</v>
      </c>
      <c r="G28" s="5">
        <f t="shared" si="6"/>
        <v>2945.2431127404311</v>
      </c>
      <c r="AA28" s="37" t="s">
        <v>76</v>
      </c>
      <c r="AB28" s="37">
        <f>F12+E35+E26/2</f>
        <v>52.5</v>
      </c>
      <c r="AC28" s="37" t="s">
        <v>2</v>
      </c>
      <c r="AD28" s="37"/>
      <c r="AE28" s="37" t="s">
        <v>76</v>
      </c>
      <c r="AF28" s="37">
        <f>AB28</f>
        <v>52.5</v>
      </c>
      <c r="AG28" s="37"/>
      <c r="AH28" s="37"/>
      <c r="AI28" s="37" t="s">
        <v>76</v>
      </c>
      <c r="AJ28" s="37">
        <f>AF28</f>
        <v>52.5</v>
      </c>
      <c r="AK28" s="37"/>
    </row>
    <row r="29" spans="1:37" x14ac:dyDescent="0.2">
      <c r="A29" s="64"/>
      <c r="B29" s="57"/>
      <c r="C29" s="58"/>
      <c r="D29" s="29" t="s">
        <v>44</v>
      </c>
      <c r="E29" s="33">
        <f>E28/($L$9*$L$13)*100</f>
        <v>0.20207499915886321</v>
      </c>
      <c r="F29" s="33">
        <f t="shared" ref="F29:G29" si="7">F28/($L$9*$L$13)*100</f>
        <v>0.23575416568534041</v>
      </c>
      <c r="G29" s="33">
        <f t="shared" si="7"/>
        <v>0.20207499915886321</v>
      </c>
      <c r="AA29" s="37" t="s">
        <v>38</v>
      </c>
      <c r="AB29" s="37">
        <v>40</v>
      </c>
      <c r="AC29" s="37" t="s">
        <v>2</v>
      </c>
      <c r="AD29" s="37"/>
      <c r="AE29" s="37" t="s">
        <v>38</v>
      </c>
      <c r="AF29" s="37"/>
      <c r="AG29" s="37"/>
      <c r="AH29" s="37"/>
      <c r="AI29" s="37" t="s">
        <v>38</v>
      </c>
      <c r="AJ29" s="37"/>
      <c r="AK29" s="37"/>
    </row>
    <row r="30" spans="1:37" x14ac:dyDescent="0.2">
      <c r="A30" s="64"/>
      <c r="B30" s="53" t="s">
        <v>69</v>
      </c>
      <c r="C30" s="54"/>
      <c r="D30" s="29" t="s">
        <v>42</v>
      </c>
      <c r="E30" s="11">
        <v>25</v>
      </c>
      <c r="F30" s="11">
        <v>25</v>
      </c>
      <c r="G30" s="11">
        <v>25</v>
      </c>
      <c r="M30" s="8"/>
      <c r="AA30" s="39" t="s">
        <v>77</v>
      </c>
      <c r="AB30" s="38" t="s">
        <v>41</v>
      </c>
      <c r="AC30" s="38" t="s">
        <v>43</v>
      </c>
      <c r="AD30" s="37"/>
      <c r="AE30" s="39" t="s">
        <v>77</v>
      </c>
      <c r="AF30" s="38" t="s">
        <v>41</v>
      </c>
      <c r="AG30" s="38" t="s">
        <v>43</v>
      </c>
      <c r="AH30" s="37"/>
      <c r="AI30" s="39" t="s">
        <v>77</v>
      </c>
      <c r="AJ30" s="38" t="s">
        <v>41</v>
      </c>
      <c r="AK30" s="38" t="s">
        <v>43</v>
      </c>
    </row>
    <row r="31" spans="1:37" x14ac:dyDescent="0.2">
      <c r="A31" s="64"/>
      <c r="B31" s="55"/>
      <c r="C31" s="56"/>
      <c r="D31" s="29" t="s">
        <v>22</v>
      </c>
      <c r="E31" s="3">
        <f>IF(ROUNDUP(E24/(PI()*E30^2/4),5)&lt;=2,2,ROUNDUP(E24/(PI()*E30^2/4),0))</f>
        <v>3</v>
      </c>
      <c r="F31" s="3">
        <f t="shared" ref="F31:G31" si="8">IF(ROUNDUP(F24/(PI()*F30^2/4),5)&lt;=2,2,ROUNDUP(F24/(PI()*F30^2/4),0))</f>
        <v>4</v>
      </c>
      <c r="G31" s="3">
        <f t="shared" si="8"/>
        <v>3</v>
      </c>
      <c r="AA31" s="39">
        <v>1</v>
      </c>
      <c r="AB31" s="39">
        <v>52.5</v>
      </c>
      <c r="AC31" s="39">
        <v>1447.5</v>
      </c>
      <c r="AD31" s="37"/>
      <c r="AE31" s="39">
        <v>1</v>
      </c>
      <c r="AF31" s="39">
        <v>52.5</v>
      </c>
      <c r="AG31" s="39">
        <v>52.5</v>
      </c>
      <c r="AH31" s="37"/>
      <c r="AI31" s="39">
        <v>1</v>
      </c>
      <c r="AJ31" s="39">
        <v>52.5</v>
      </c>
      <c r="AK31" s="39">
        <v>1447.5</v>
      </c>
    </row>
    <row r="32" spans="1:37" x14ac:dyDescent="0.2">
      <c r="A32" s="64"/>
      <c r="B32" s="55"/>
      <c r="C32" s="56"/>
      <c r="D32" s="29" t="s">
        <v>66</v>
      </c>
      <c r="E32" s="4">
        <f>PI()*E30^2/4*E31</f>
        <v>1472.6215563702156</v>
      </c>
      <c r="F32" s="4">
        <f t="shared" ref="F32" si="9">PI()*F30^2/4*F31</f>
        <v>1963.4954084936207</v>
      </c>
      <c r="G32" s="4">
        <f t="shared" ref="G32" si="10">PI()*G30^2/4*G31</f>
        <v>1472.6215563702156</v>
      </c>
      <c r="AA32" s="39">
        <v>2</v>
      </c>
      <c r="AB32" s="39">
        <v>231.5</v>
      </c>
      <c r="AC32" s="39">
        <v>1447.5</v>
      </c>
      <c r="AD32" s="37"/>
      <c r="AE32" s="39">
        <v>2</v>
      </c>
      <c r="AF32" s="39">
        <v>201.66666666666666</v>
      </c>
      <c r="AG32" s="39">
        <v>52.5</v>
      </c>
      <c r="AH32" s="37"/>
      <c r="AI32" s="39">
        <v>2</v>
      </c>
      <c r="AJ32" s="39">
        <v>231.5</v>
      </c>
      <c r="AK32" s="39">
        <v>1447.5</v>
      </c>
    </row>
    <row r="33" spans="1:37" x14ac:dyDescent="0.2">
      <c r="A33" s="64"/>
      <c r="B33" s="57"/>
      <c r="C33" s="58"/>
      <c r="D33" s="29" t="s">
        <v>44</v>
      </c>
      <c r="E33" s="32">
        <f>E32/($L$9*$L$13)*100</f>
        <v>0.1010374995794316</v>
      </c>
      <c r="F33" s="32">
        <f t="shared" ref="F33" si="11">F32/($L$9*$L$13)*100</f>
        <v>0.13471666610590879</v>
      </c>
      <c r="G33" s="32">
        <f t="shared" ref="G33" si="12">G32/($L$9*$L$13)*100</f>
        <v>0.1010374995794316</v>
      </c>
      <c r="AA33" s="41">
        <v>3</v>
      </c>
      <c r="AB33" s="41">
        <v>410.5</v>
      </c>
      <c r="AC33" s="41">
        <v>1447.5</v>
      </c>
      <c r="AD33" s="42"/>
      <c r="AE33" s="39">
        <v>3</v>
      </c>
      <c r="AF33" s="39">
        <v>350.83333333333331</v>
      </c>
      <c r="AG33" s="39">
        <v>52.5</v>
      </c>
      <c r="AH33" s="37"/>
      <c r="AI33" s="39">
        <v>3</v>
      </c>
      <c r="AJ33" s="39">
        <v>410.5</v>
      </c>
      <c r="AK33" s="39">
        <v>1447.5</v>
      </c>
    </row>
    <row r="34" spans="1:37" ht="15" customHeight="1" x14ac:dyDescent="0.2">
      <c r="B34" s="48" t="s">
        <v>29</v>
      </c>
      <c r="C34" s="3"/>
      <c r="D34" s="3"/>
      <c r="E34" s="3"/>
      <c r="F34" s="3"/>
      <c r="G34" s="3"/>
      <c r="K34" s="45" t="s">
        <v>82</v>
      </c>
      <c r="L34" s="46" t="s">
        <v>81</v>
      </c>
      <c r="AA34" s="41">
        <v>4</v>
      </c>
      <c r="AB34" s="41">
        <v>589.5</v>
      </c>
      <c r="AC34" s="41">
        <v>1447.5</v>
      </c>
      <c r="AD34" s="42"/>
      <c r="AE34" s="39">
        <v>4</v>
      </c>
      <c r="AF34" s="39">
        <v>500</v>
      </c>
      <c r="AG34" s="39">
        <v>52.5</v>
      </c>
      <c r="AH34" s="37"/>
      <c r="AI34" s="39">
        <v>4</v>
      </c>
      <c r="AJ34" s="39">
        <v>589.5</v>
      </c>
      <c r="AK34" s="39">
        <v>1447.5</v>
      </c>
    </row>
    <row r="35" spans="1:37" x14ac:dyDescent="0.2">
      <c r="B35" s="50" t="s">
        <v>67</v>
      </c>
      <c r="C35" s="51"/>
      <c r="D35" s="52"/>
      <c r="E35" s="12">
        <v>10</v>
      </c>
      <c r="F35" s="12">
        <v>10</v>
      </c>
      <c r="G35" s="12">
        <v>10</v>
      </c>
      <c r="AA35" s="41">
        <v>5</v>
      </c>
      <c r="AB35" s="41">
        <v>768.5</v>
      </c>
      <c r="AC35" s="41">
        <v>1447.5</v>
      </c>
      <c r="AD35" s="42"/>
      <c r="AE35" s="39">
        <v>5</v>
      </c>
      <c r="AF35" s="39">
        <v>649.16666666666663</v>
      </c>
      <c r="AG35" s="39">
        <v>52.5</v>
      </c>
      <c r="AH35" s="37"/>
      <c r="AI35" s="39">
        <v>5</v>
      </c>
      <c r="AJ35" s="39">
        <v>768.5</v>
      </c>
      <c r="AK35" s="39">
        <v>1447.5</v>
      </c>
    </row>
    <row r="36" spans="1:37" x14ac:dyDescent="0.2">
      <c r="B36" s="50" t="s">
        <v>27</v>
      </c>
      <c r="C36" s="51"/>
      <c r="D36" s="52"/>
      <c r="E36" s="9">
        <v>3</v>
      </c>
      <c r="F36" s="2">
        <v>3</v>
      </c>
      <c r="G36" s="3">
        <v>3</v>
      </c>
      <c r="AA36" s="41">
        <v>6</v>
      </c>
      <c r="AB36" s="41">
        <v>947.5</v>
      </c>
      <c r="AC36" s="41">
        <v>1447.5</v>
      </c>
      <c r="AD36" s="42"/>
      <c r="AE36" s="39">
        <v>6</v>
      </c>
      <c r="AF36" s="39">
        <v>798.33333333333326</v>
      </c>
      <c r="AG36" s="39">
        <v>52.5</v>
      </c>
      <c r="AH36" s="37"/>
      <c r="AI36" s="39">
        <v>6</v>
      </c>
      <c r="AJ36" s="39">
        <v>947.5</v>
      </c>
      <c r="AK36" s="39">
        <v>1447.5</v>
      </c>
    </row>
    <row r="37" spans="1:37" x14ac:dyDescent="0.2">
      <c r="B37" s="50" t="s">
        <v>68</v>
      </c>
      <c r="C37" s="51"/>
      <c r="D37" s="52"/>
      <c r="E37" s="10">
        <f>E36*PI()*E35^2/4</f>
        <v>235.61944901923448</v>
      </c>
      <c r="F37" s="10">
        <f>F36*PI()*F35^2/4</f>
        <v>235.61944901923448</v>
      </c>
      <c r="G37" s="10">
        <f>G36*PI()*G35^2/4</f>
        <v>235.61944901923448</v>
      </c>
      <c r="AA37" s="41"/>
      <c r="AB37" s="41"/>
      <c r="AC37" s="41"/>
      <c r="AD37" s="42"/>
      <c r="AE37" s="39">
        <v>7</v>
      </c>
      <c r="AF37" s="39">
        <v>947.5</v>
      </c>
      <c r="AG37" s="39">
        <v>52.5</v>
      </c>
      <c r="AH37" s="37"/>
      <c r="AI37" s="39"/>
      <c r="AJ37" s="39"/>
      <c r="AK37" s="39"/>
    </row>
    <row r="38" spans="1:37" x14ac:dyDescent="0.2">
      <c r="B38" s="50" t="s">
        <v>38</v>
      </c>
      <c r="C38" s="51"/>
      <c r="D38" s="52"/>
      <c r="E38" s="10" cm="1">
        <f t="array" ref="E38">ROUNDDOWN(space(E17,F8,F10,E28,L9,L13,E37),0)</f>
        <v>147</v>
      </c>
      <c r="F38" s="10">
        <f>ROUNDDOWN(space(F17,F8,F10,F28,L9,L13,F37),0)</f>
        <v>128</v>
      </c>
      <c r="G38" s="3">
        <f>ROUNDDOWN(space(G17,F8,F10,G28,L9,L13,G37),0)</f>
        <v>183</v>
      </c>
      <c r="AA38" s="39"/>
      <c r="AB38" s="39"/>
      <c r="AC38" s="39"/>
      <c r="AD38" s="42"/>
      <c r="AE38" s="39"/>
      <c r="AF38" s="39"/>
      <c r="AG38" s="39"/>
      <c r="AH38" s="37"/>
      <c r="AI38" s="39"/>
      <c r="AJ38" s="39"/>
      <c r="AK38" s="39"/>
    </row>
    <row r="39" spans="1:37" x14ac:dyDescent="0.2">
      <c r="A39" s="26"/>
      <c r="B39" s="50"/>
      <c r="C39" s="51"/>
      <c r="D39" s="52"/>
      <c r="E39" s="3"/>
      <c r="F39" s="3"/>
      <c r="G39" s="3"/>
      <c r="K39" s="13"/>
      <c r="L39" s="13"/>
      <c r="M39" s="13"/>
      <c r="N39" s="13"/>
      <c r="O39" s="13"/>
      <c r="P39" s="14"/>
      <c r="Q39" s="14"/>
      <c r="R39" s="13"/>
      <c r="S39" s="13"/>
      <c r="T39" s="13"/>
      <c r="U39" s="13"/>
      <c r="AA39" s="39"/>
      <c r="AB39" s="39"/>
      <c r="AC39" s="39"/>
      <c r="AD39" s="42"/>
      <c r="AE39" s="39"/>
      <c r="AF39" s="39"/>
      <c r="AG39" s="39"/>
      <c r="AH39" s="37"/>
      <c r="AI39" s="39"/>
      <c r="AJ39" s="39"/>
      <c r="AK39" s="39"/>
    </row>
    <row r="40" spans="1:37" x14ac:dyDescent="0.2">
      <c r="A40" s="1" t="s">
        <v>30</v>
      </c>
      <c r="B40" s="48" t="s">
        <v>37</v>
      </c>
      <c r="C40" s="3"/>
      <c r="D40" s="3"/>
      <c r="E40" s="3"/>
      <c r="F40" s="3"/>
      <c r="G40" s="3"/>
      <c r="AA40" s="37" t="s">
        <v>69</v>
      </c>
      <c r="AB40" s="37"/>
      <c r="AC40" s="37"/>
      <c r="AD40" s="42"/>
      <c r="AE40" s="37" t="s">
        <v>69</v>
      </c>
      <c r="AF40" s="37"/>
      <c r="AG40" s="37"/>
      <c r="AH40" s="37"/>
      <c r="AI40" s="37" t="s">
        <v>69</v>
      </c>
      <c r="AJ40" s="37"/>
      <c r="AK40" s="37"/>
    </row>
    <row r="41" spans="1:37" ht="21" customHeight="1" x14ac:dyDescent="0.2">
      <c r="B41" s="71" t="s">
        <v>33</v>
      </c>
      <c r="C41" s="68"/>
      <c r="D41" s="69"/>
      <c r="E41" s="7" t="s">
        <v>35</v>
      </c>
      <c r="F41" s="27">
        <f>TBlength(E11,F8,F9,E26)</f>
        <v>1148.8970588235293</v>
      </c>
      <c r="G41" s="3" t="s">
        <v>2</v>
      </c>
      <c r="AA41" s="41" t="s">
        <v>77</v>
      </c>
      <c r="AB41" s="41" t="s">
        <v>41</v>
      </c>
      <c r="AC41" s="41" t="s">
        <v>43</v>
      </c>
      <c r="AD41" s="42"/>
      <c r="AE41" s="41" t="s">
        <v>77</v>
      </c>
      <c r="AF41" s="41" t="s">
        <v>41</v>
      </c>
      <c r="AG41" s="41" t="s">
        <v>43</v>
      </c>
      <c r="AH41" s="37"/>
      <c r="AI41" s="41" t="s">
        <v>77</v>
      </c>
      <c r="AJ41" s="41" t="s">
        <v>41</v>
      </c>
      <c r="AK41" s="41" t="s">
        <v>43</v>
      </c>
    </row>
    <row r="42" spans="1:37" ht="21" customHeight="1" x14ac:dyDescent="0.2">
      <c r="B42" s="71" t="s">
        <v>34</v>
      </c>
      <c r="C42" s="68"/>
      <c r="D42" s="69"/>
      <c r="E42" s="7" t="s">
        <v>36</v>
      </c>
      <c r="F42" s="27">
        <f>CBlength(E11,F8,F9,E30)</f>
        <v>919.11764705882354</v>
      </c>
      <c r="G42" s="3" t="s">
        <v>2</v>
      </c>
      <c r="AA42" s="41">
        <v>1</v>
      </c>
      <c r="AB42" s="41">
        <v>52.5</v>
      </c>
      <c r="AC42" s="41">
        <v>52.5</v>
      </c>
      <c r="AD42" s="42"/>
      <c r="AE42" s="39">
        <v>1</v>
      </c>
      <c r="AF42" s="39">
        <v>52.5</v>
      </c>
      <c r="AG42" s="39">
        <v>1447.5</v>
      </c>
      <c r="AH42" s="37"/>
      <c r="AI42" s="39">
        <v>1</v>
      </c>
      <c r="AJ42" s="39">
        <v>52.5</v>
      </c>
      <c r="AK42" s="39">
        <v>52.5</v>
      </c>
    </row>
    <row r="43" spans="1:37" x14ac:dyDescent="0.2">
      <c r="AA43" s="41">
        <v>2</v>
      </c>
      <c r="AB43" s="41">
        <v>500</v>
      </c>
      <c r="AC43" s="41">
        <v>52.5</v>
      </c>
      <c r="AD43" s="37"/>
      <c r="AE43" s="39">
        <v>2</v>
      </c>
      <c r="AF43" s="39">
        <v>350.83333333333331</v>
      </c>
      <c r="AG43" s="39">
        <v>1447.5</v>
      </c>
      <c r="AH43" s="37"/>
      <c r="AI43" s="39">
        <v>2</v>
      </c>
      <c r="AJ43" s="39">
        <v>500</v>
      </c>
      <c r="AK43" s="39">
        <v>52.5</v>
      </c>
    </row>
    <row r="44" spans="1:37" x14ac:dyDescent="0.2">
      <c r="AA44" s="41">
        <v>3</v>
      </c>
      <c r="AB44" s="41">
        <v>947.5</v>
      </c>
      <c r="AC44" s="41">
        <v>52.5</v>
      </c>
      <c r="AD44" s="37"/>
      <c r="AE44" s="39">
        <v>3</v>
      </c>
      <c r="AF44" s="39">
        <v>649.16666666666663</v>
      </c>
      <c r="AG44" s="39">
        <v>1447.5</v>
      </c>
      <c r="AH44" s="37"/>
      <c r="AI44" s="39">
        <v>3</v>
      </c>
      <c r="AJ44" s="39">
        <v>947.5</v>
      </c>
      <c r="AK44" s="39">
        <v>52.5</v>
      </c>
    </row>
    <row r="45" spans="1:37" x14ac:dyDescent="0.2">
      <c r="C45" s="1" t="str">
        <f>CONCATENATE(E27,"-",E26," mm dia ")</f>
        <v xml:space="preserve">6-25 mm dia </v>
      </c>
      <c r="E45" s="1" t="str">
        <f>CONCATENATE(E36,"L-",E35," mm dia @ ",E38," mm c/s")</f>
        <v>3L-10 mm dia @ 147 mm c/s</v>
      </c>
      <c r="I45" s="1" t="str">
        <f>CONCATENATE(G27,"-",G26," mm dia ")</f>
        <v xml:space="preserve">6-25 mm dia </v>
      </c>
      <c r="AA45" s="41"/>
      <c r="AB45" s="41"/>
      <c r="AC45" s="41"/>
      <c r="AD45" s="37"/>
      <c r="AE45" s="39">
        <v>4</v>
      </c>
      <c r="AF45" s="39">
        <v>947.5</v>
      </c>
      <c r="AG45" s="39">
        <v>1447.5</v>
      </c>
      <c r="AH45" s="37"/>
      <c r="AI45" s="39"/>
      <c r="AJ45" s="39"/>
      <c r="AK45" s="39"/>
    </row>
    <row r="46" spans="1:37" x14ac:dyDescent="0.2">
      <c r="AA46" s="39"/>
      <c r="AB46" s="39"/>
      <c r="AC46" s="39"/>
      <c r="AD46" s="37"/>
      <c r="AE46" s="39"/>
      <c r="AF46" s="39"/>
      <c r="AG46" s="39"/>
      <c r="AH46" s="37"/>
      <c r="AI46" s="39"/>
      <c r="AJ46" s="39"/>
      <c r="AK46" s="39"/>
    </row>
    <row r="47" spans="1:37" x14ac:dyDescent="0.2">
      <c r="AA47" s="39"/>
      <c r="AB47" s="39"/>
      <c r="AC47" s="39"/>
      <c r="AD47" s="37"/>
      <c r="AE47" s="39"/>
      <c r="AF47" s="39"/>
      <c r="AG47" s="39"/>
      <c r="AH47" s="37"/>
      <c r="AI47" s="39"/>
      <c r="AJ47" s="39"/>
      <c r="AK47" s="39"/>
    </row>
    <row r="48" spans="1:37" x14ac:dyDescent="0.2">
      <c r="J48" s="1" t="str">
        <f>CONCATENATE(G36,"L-",G35," mm dia @ ",G38," mm c/c")</f>
        <v>3L-10 mm dia @ 183 mm c/c</v>
      </c>
      <c r="AA48" s="39"/>
      <c r="AB48" s="39"/>
      <c r="AC48" s="39"/>
      <c r="AD48" s="37"/>
      <c r="AE48" s="39"/>
      <c r="AF48" s="39"/>
      <c r="AG48" s="39"/>
      <c r="AH48" s="37"/>
      <c r="AI48" s="39"/>
      <c r="AJ48" s="39"/>
      <c r="AK48" s="39"/>
    </row>
    <row r="49" spans="4:37" x14ac:dyDescent="0.2">
      <c r="AA49" s="39"/>
      <c r="AB49" s="39"/>
      <c r="AC49" s="39"/>
      <c r="AD49" s="37"/>
      <c r="AE49" s="39"/>
      <c r="AF49" s="39"/>
      <c r="AG49" s="39"/>
      <c r="AH49" s="37"/>
      <c r="AI49" s="39"/>
      <c r="AJ49" s="39"/>
      <c r="AK49" s="39"/>
    </row>
    <row r="50" spans="4:37" x14ac:dyDescent="0.2">
      <c r="AA50" s="39"/>
      <c r="AB50" s="39"/>
      <c r="AC50" s="39"/>
      <c r="AD50" s="37"/>
      <c r="AE50" s="39"/>
      <c r="AF50" s="39"/>
      <c r="AG50" s="39"/>
      <c r="AH50" s="37"/>
      <c r="AI50" s="39"/>
      <c r="AJ50" s="39"/>
      <c r="AK50" s="39"/>
    </row>
    <row r="51" spans="4:37" x14ac:dyDescent="0.2">
      <c r="AA51" s="39"/>
      <c r="AB51" s="39"/>
      <c r="AC51" s="39"/>
      <c r="AD51" s="37"/>
      <c r="AE51" s="39"/>
      <c r="AF51" s="39"/>
      <c r="AG51" s="39"/>
      <c r="AH51" s="37"/>
      <c r="AI51" s="39"/>
      <c r="AJ51" s="39"/>
      <c r="AK51" s="39"/>
    </row>
    <row r="52" spans="4:37" x14ac:dyDescent="0.2">
      <c r="AA52" s="37" t="s">
        <v>78</v>
      </c>
      <c r="AB52" s="37"/>
      <c r="AC52" s="37"/>
      <c r="AD52" s="37"/>
      <c r="AE52" s="37"/>
      <c r="AF52" s="37"/>
      <c r="AG52" s="37"/>
      <c r="AH52" s="37"/>
      <c r="AI52" s="37" t="s">
        <v>78</v>
      </c>
      <c r="AJ52" s="37"/>
      <c r="AK52" s="37"/>
    </row>
    <row r="53" spans="4:37" x14ac:dyDescent="0.2">
      <c r="D53" s="1" t="str">
        <f>CONCATENATE(F27,"-",F26," mm dia")</f>
        <v>7-25 mm dia</v>
      </c>
      <c r="AA53" s="37" t="s">
        <v>79</v>
      </c>
      <c r="AB53" s="37">
        <f>F12+E35/2</f>
        <v>35</v>
      </c>
      <c r="AC53" s="37" t="s">
        <v>2</v>
      </c>
      <c r="AD53" s="37"/>
      <c r="AE53" s="37" t="s">
        <v>79</v>
      </c>
      <c r="AF53" s="37">
        <f>AB53</f>
        <v>35</v>
      </c>
      <c r="AG53" s="37"/>
      <c r="AH53" s="37"/>
      <c r="AI53" s="37" t="s">
        <v>79</v>
      </c>
      <c r="AJ53" s="37">
        <f>AF53</f>
        <v>35</v>
      </c>
      <c r="AK53" s="37"/>
    </row>
    <row r="54" spans="4:37" x14ac:dyDescent="0.2">
      <c r="G54" s="26" t="str">
        <f>CONCATENATE(G36,"L-",G35,"mm dia @",G38," mm c/c")</f>
        <v>3L-10mm dia @183 mm c/c</v>
      </c>
      <c r="AA54" s="39"/>
      <c r="AB54" s="39" t="s">
        <v>41</v>
      </c>
      <c r="AC54" s="39" t="s">
        <v>43</v>
      </c>
      <c r="AD54" s="37"/>
      <c r="AE54" s="39"/>
      <c r="AF54" s="39" t="s">
        <v>41</v>
      </c>
      <c r="AG54" s="39" t="s">
        <v>43</v>
      </c>
      <c r="AH54" s="37"/>
      <c r="AI54" s="39"/>
      <c r="AJ54" s="39" t="s">
        <v>41</v>
      </c>
      <c r="AK54" s="39" t="s">
        <v>43</v>
      </c>
    </row>
    <row r="55" spans="4:37" x14ac:dyDescent="0.2">
      <c r="AA55" s="39">
        <v>1</v>
      </c>
      <c r="AB55" s="39">
        <f>AA17+AB53</f>
        <v>35</v>
      </c>
      <c r="AC55" s="39">
        <f>AB17+AB53</f>
        <v>35</v>
      </c>
      <c r="AD55" s="37"/>
      <c r="AE55" s="39">
        <v>1</v>
      </c>
      <c r="AF55" s="39">
        <f>AB55</f>
        <v>35</v>
      </c>
      <c r="AG55" s="39">
        <f>AC55</f>
        <v>35</v>
      </c>
      <c r="AH55" s="37"/>
      <c r="AI55" s="39">
        <v>1</v>
      </c>
      <c r="AJ55" s="39">
        <f>AF55</f>
        <v>35</v>
      </c>
      <c r="AK55" s="39">
        <f>AG55</f>
        <v>35</v>
      </c>
    </row>
    <row r="56" spans="4:37" x14ac:dyDescent="0.2">
      <c r="AA56" s="39">
        <v>2</v>
      </c>
      <c r="AB56" s="40">
        <f>L9-AB53</f>
        <v>965</v>
      </c>
      <c r="AC56" s="39">
        <f>AC55</f>
        <v>35</v>
      </c>
      <c r="AD56" s="37"/>
      <c r="AE56" s="39">
        <v>2</v>
      </c>
      <c r="AF56" s="39">
        <f t="shared" ref="AF56:AG59" si="13">AB56</f>
        <v>965</v>
      </c>
      <c r="AG56" s="39">
        <f t="shared" si="13"/>
        <v>35</v>
      </c>
      <c r="AH56" s="37"/>
      <c r="AI56" s="39">
        <v>2</v>
      </c>
      <c r="AJ56" s="39">
        <f t="shared" ref="AJ56:AK59" si="14">AF56</f>
        <v>965</v>
      </c>
      <c r="AK56" s="39">
        <f t="shared" si="14"/>
        <v>35</v>
      </c>
    </row>
    <row r="57" spans="4:37" x14ac:dyDescent="0.2">
      <c r="AA57" s="39">
        <v>3</v>
      </c>
      <c r="AB57" s="39">
        <f>AB56</f>
        <v>965</v>
      </c>
      <c r="AC57" s="40">
        <f>L8-AB53</f>
        <v>1465</v>
      </c>
      <c r="AD57" s="37"/>
      <c r="AE57" s="39">
        <v>3</v>
      </c>
      <c r="AF57" s="39">
        <f t="shared" si="13"/>
        <v>965</v>
      </c>
      <c r="AG57" s="39">
        <f t="shared" si="13"/>
        <v>1465</v>
      </c>
      <c r="AH57" s="37"/>
      <c r="AI57" s="39">
        <v>3</v>
      </c>
      <c r="AJ57" s="39">
        <f t="shared" si="14"/>
        <v>965</v>
      </c>
      <c r="AK57" s="39">
        <f t="shared" si="14"/>
        <v>1465</v>
      </c>
    </row>
    <row r="58" spans="4:37" x14ac:dyDescent="0.2">
      <c r="AA58" s="39">
        <v>4</v>
      </c>
      <c r="AB58" s="39">
        <f>AB55</f>
        <v>35</v>
      </c>
      <c r="AC58" s="39">
        <f>AC57</f>
        <v>1465</v>
      </c>
      <c r="AD58" s="37"/>
      <c r="AE58" s="39">
        <v>4</v>
      </c>
      <c r="AF58" s="39">
        <f t="shared" si="13"/>
        <v>35</v>
      </c>
      <c r="AG58" s="39">
        <f t="shared" si="13"/>
        <v>1465</v>
      </c>
      <c r="AH58" s="37"/>
      <c r="AI58" s="39">
        <v>4</v>
      </c>
      <c r="AJ58" s="39">
        <f t="shared" si="14"/>
        <v>35</v>
      </c>
      <c r="AK58" s="39">
        <f t="shared" si="14"/>
        <v>1465</v>
      </c>
    </row>
    <row r="59" spans="4:37" x14ac:dyDescent="0.2">
      <c r="AA59" s="39">
        <v>5</v>
      </c>
      <c r="AB59" s="39">
        <f>AB55</f>
        <v>35</v>
      </c>
      <c r="AC59" s="39">
        <f>AC55</f>
        <v>35</v>
      </c>
      <c r="AD59" s="37"/>
      <c r="AE59" s="39">
        <v>5</v>
      </c>
      <c r="AF59" s="39">
        <f t="shared" si="13"/>
        <v>35</v>
      </c>
      <c r="AG59" s="39">
        <f t="shared" si="13"/>
        <v>35</v>
      </c>
      <c r="AH59" s="37"/>
      <c r="AI59" s="39">
        <v>5</v>
      </c>
      <c r="AJ59" s="39">
        <f t="shared" si="14"/>
        <v>35</v>
      </c>
      <c r="AK59" s="39">
        <f t="shared" si="14"/>
        <v>35</v>
      </c>
    </row>
    <row r="107" spans="35:37" x14ac:dyDescent="0.2">
      <c r="AI107" s="1">
        <v>1</v>
      </c>
      <c r="AJ107" s="1">
        <v>52.5</v>
      </c>
      <c r="AK107" s="1">
        <v>52.5</v>
      </c>
    </row>
    <row r="108" spans="35:37" x14ac:dyDescent="0.2">
      <c r="AI108" s="1">
        <v>2</v>
      </c>
      <c r="AJ108" s="1">
        <v>500</v>
      </c>
      <c r="AK108" s="1">
        <v>52.5</v>
      </c>
    </row>
    <row r="109" spans="35:37" x14ac:dyDescent="0.2">
      <c r="AI109" s="1">
        <v>3</v>
      </c>
      <c r="AJ109" s="1">
        <v>947.5</v>
      </c>
      <c r="AK109" s="1">
        <v>52.5</v>
      </c>
    </row>
  </sheetData>
  <mergeCells count="40">
    <mergeCell ref="B42:D42"/>
    <mergeCell ref="A1:M1"/>
    <mergeCell ref="E11:F11"/>
    <mergeCell ref="N7:O7"/>
    <mergeCell ref="A6:M6"/>
    <mergeCell ref="B41:D41"/>
    <mergeCell ref="H9:J9"/>
    <mergeCell ref="H10:J10"/>
    <mergeCell ref="H11:J11"/>
    <mergeCell ref="B21:D21"/>
    <mergeCell ref="B22:D22"/>
    <mergeCell ref="H7:M7"/>
    <mergeCell ref="B19:D19"/>
    <mergeCell ref="B18:D18"/>
    <mergeCell ref="B20:D20"/>
    <mergeCell ref="A9:A10"/>
    <mergeCell ref="A26:A29"/>
    <mergeCell ref="A30:A33"/>
    <mergeCell ref="B35:D35"/>
    <mergeCell ref="K11:L11"/>
    <mergeCell ref="B23:D23"/>
    <mergeCell ref="B24:D24"/>
    <mergeCell ref="B14:G14"/>
    <mergeCell ref="B11:D11"/>
    <mergeCell ref="B17:D17"/>
    <mergeCell ref="B12:D12"/>
    <mergeCell ref="B13:D13"/>
    <mergeCell ref="B15:D15"/>
    <mergeCell ref="B16:D16"/>
    <mergeCell ref="K4:L4"/>
    <mergeCell ref="B36:D36"/>
    <mergeCell ref="B37:D37"/>
    <mergeCell ref="B38:D38"/>
    <mergeCell ref="B39:D39"/>
    <mergeCell ref="B30:C33"/>
    <mergeCell ref="B26:C29"/>
    <mergeCell ref="B7:G7"/>
    <mergeCell ref="H8:J8"/>
    <mergeCell ref="B8:D8"/>
    <mergeCell ref="B9:C10"/>
  </mergeCells>
  <dataValidations count="8">
    <dataValidation type="list" allowBlank="1" showInputMessage="1" showErrorMessage="1" sqref="F8" xr:uid="{00000000-0002-0000-0200-000000000000}">
      <formula1>"15, 20, 25,30,35,40,45"</formula1>
    </dataValidation>
    <dataValidation type="list" allowBlank="1" showInputMessage="1" showErrorMessage="1" sqref="F9" xr:uid="{00000000-0002-0000-0200-000001000000}">
      <formula1>"250,415,500"</formula1>
    </dataValidation>
    <dataValidation type="list" allowBlank="1" showInputMessage="1" showErrorMessage="1" sqref="E35:G35" xr:uid="{00000000-0002-0000-0200-000003000000}">
      <formula1>"6,8,10,12"</formula1>
    </dataValidation>
    <dataValidation type="list" allowBlank="1" showInputMessage="1" showErrorMessage="1" sqref="E26:G26" xr:uid="{00000000-0002-0000-0200-000004000000}">
      <formula1>"10,12,16,18,20,22,25"</formula1>
    </dataValidation>
    <dataValidation type="list" allowBlank="1" showInputMessage="1" showErrorMessage="1" sqref="K11" xr:uid="{00000000-0002-0000-0200-000005000000}">
      <formula1>"Simply Supported, Cantilever, Continuous"</formula1>
    </dataValidation>
    <dataValidation type="list" allowBlank="1" showInputMessage="1" showErrorMessage="1" sqref="E11" xr:uid="{00000000-0002-0000-0200-000006000000}">
      <formula1>"Plain, Deformed"</formula1>
    </dataValidation>
    <dataValidation type="list" allowBlank="1" showInputMessage="1" showErrorMessage="1" sqref="F10 E11" xr:uid="{00000000-0002-0000-0200-000002000000}">
      <formula1>"250,415"</formula1>
    </dataValidation>
    <dataValidation type="list" allowBlank="1" showInputMessage="1" showErrorMessage="1" sqref="L34" xr:uid="{E82C6C35-3B1A-48F7-80CA-93C0953C57D5}">
      <formula1>"Print, Skip print"</formula1>
    </dataValidation>
  </dataValidations>
  <pageMargins left="0.7" right="0.7" top="0.75" bottom="0.75" header="0.3" footer="0.3"/>
  <pageSetup paperSize="9" orientation="portrait" cellComments="atEnd" r:id="rId1"/>
  <headerFooter>
    <oddHeader>&amp;L&amp;"Arial,Italic"&amp;8&amp;F&amp;R&amp;"Arial,Italic"&amp;8&amp;USpreadsheet by: Nabin Kumar Ijam</oddHeader>
    <oddFooter>&amp;L&amp;"Arial,Italic"&amp;8&amp;Z&amp;F</oddFooter>
  </headerFooter>
  <colBreaks count="1" manualBreakCount="1">
    <brk id="18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SectionCreation">
                <anchor moveWithCells="1" sizeWithCells="1">
                  <from>
                    <xdr:col>9</xdr:col>
                    <xdr:colOff>464820</xdr:colOff>
                    <xdr:row>30</xdr:row>
                    <xdr:rowOff>38100</xdr:rowOff>
                  </from>
                  <to>
                    <xdr:col>11</xdr:col>
                    <xdr:colOff>236220</xdr:colOff>
                    <xdr:row>32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beam design</vt:lpstr>
      <vt:lpstr>'beam design'!Print_Area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Nabin</dc:creator>
  <cp:lastModifiedBy>Nabin Kumar IJAM</cp:lastModifiedBy>
  <cp:lastPrinted>2024-10-15T08:32:23Z</cp:lastPrinted>
  <dcterms:created xsi:type="dcterms:W3CDTF">2013-10-22T08:10:41Z</dcterms:created>
  <dcterms:modified xsi:type="dcterms:W3CDTF">2025-02-18T00:42:36Z</dcterms:modified>
</cp:coreProperties>
</file>